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사용안내" sheetId="1" state="visible" r:id="rId3"/>
    <sheet name="1_DoD·가중치합의" sheetId="2" state="visible" r:id="rId4"/>
    <sheet name="2_ActionPlan점검" sheetId="3" state="visible" r:id="rId5"/>
    <sheet name="3_요구사항추적" sheetId="4" state="visible" r:id="rId6"/>
    <sheet name="4_WBS진척" sheetId="5" state="visible" r:id="rId7"/>
    <sheet name="5_시험결과" sheetId="6" state="visible" r:id="rId8"/>
    <sheet name="6_위험관리" sheetId="7" state="visible" r:id="rId9"/>
    <sheet name="7_피드백" sheetId="8" state="visible" r:id="rId10"/>
    <sheet name="8_팀원기여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<sst xmlns="http://schemas.openxmlformats.org/spreadsheetml/2006/main" count="135" uniqueCount="120">
  <si>
    <r>
      <rPr>
        <b val="true"/>
        <sz val="16"/>
        <color rgb="FF1F3864"/>
        <rFont val="Arial"/>
        <family val="0"/>
        <charset val="1"/>
      </rPr>
      <t xml:space="preserve">7</t>
    </r>
    <r>
      <rPr>
        <b val="true"/>
        <sz val="16"/>
        <color rgb="FF1F3864"/>
        <rFont val="Noto Sans CJK SC"/>
        <family val="2"/>
      </rPr>
      <t xml:space="preserve">주차 팀 프로젝트 추적 시트</t>
    </r>
  </si>
  <si>
    <r>
      <rPr>
        <sz val="9"/>
        <color rgb="FF595959"/>
        <rFont val="Noto Sans CJK SC"/>
        <family val="2"/>
      </rPr>
      <t xml:space="preserve">동서울대학교 캡스톤디자인</t>
    </r>
    <r>
      <rPr>
        <sz val="9"/>
        <color rgb="FF595959"/>
        <rFont val="Arial"/>
        <family val="0"/>
        <charset val="1"/>
      </rPr>
      <t xml:space="preserve">(2) · 2026-2</t>
    </r>
    <r>
      <rPr>
        <sz val="9"/>
        <color rgb="FF595959"/>
        <rFont val="Noto Sans CJK SC"/>
        <family val="2"/>
      </rPr>
      <t xml:space="preserve">학기 </t>
    </r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팀별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개 </t>
    </r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파일명</t>
    </r>
    <r>
      <rPr>
        <sz val="9"/>
        <color rgb="FF595959"/>
        <rFont val="Arial"/>
        <family val="0"/>
        <charset val="1"/>
      </rPr>
      <t xml:space="preserve">: W07_</t>
    </r>
    <r>
      <rPr>
        <sz val="9"/>
        <color rgb="FF595959"/>
        <rFont val="Noto Sans CJK SC"/>
        <family val="2"/>
      </rPr>
      <t xml:space="preserve">팀추적시트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팀명</t>
    </r>
  </si>
  <si>
    <t xml:space="preserve">사용 순서</t>
  </si>
  <si>
    <r>
      <rPr>
        <sz val="10"/>
        <color rgb="FF000000"/>
        <rFont val="Noto Sans CJK SC"/>
        <family val="2"/>
      </rPr>
      <t xml:space="preserve">① 파일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사본 만들기 → 파일명 변경 → 팀원 편집 공유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담당 교수 공유  ② </t>
    </r>
    <r>
      <rPr>
        <sz val="10"/>
        <color rgb="FF000000"/>
        <rFont val="Arial"/>
        <family val="0"/>
        <charset val="1"/>
      </rPr>
      <t xml:space="preserve">1_DoD·</t>
    </r>
    <r>
      <rPr>
        <sz val="10"/>
        <color rgb="FF000000"/>
        <rFont val="Noto Sans CJK SC"/>
        <family val="2"/>
      </rPr>
      <t xml:space="preserve">가중치 합의 → </t>
    </r>
    <r>
      <rPr>
        <sz val="10"/>
        <color rgb="FF000000"/>
        <rFont val="Arial"/>
        <family val="0"/>
        <charset val="1"/>
      </rPr>
      <t xml:space="preserve">2~8 </t>
    </r>
    <r>
      <rPr>
        <sz val="10"/>
        <color rgb="FF000000"/>
        <rFont val="Noto Sans CJK SC"/>
        <family val="2"/>
      </rPr>
      <t xml:space="preserve">시트 순서대로 작성  ③ </t>
    </r>
    <r>
      <rPr>
        <sz val="10"/>
        <color rgb="FF000000"/>
        <rFont val="Arial"/>
        <family val="0"/>
        <charset val="1"/>
      </rPr>
      <t xml:space="preserve">4_WBS</t>
    </r>
    <r>
      <rPr>
        <sz val="10"/>
        <color rgb="FF000000"/>
        <rFont val="Noto Sans CJK SC"/>
        <family val="2"/>
      </rPr>
      <t xml:space="preserve">진척 상단의 가중 진척률을 팀 진행현황 보고서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번에 옮겨 적기</t>
    </r>
  </si>
  <si>
    <r>
      <rPr>
        <b val="true"/>
        <sz val="10"/>
        <rFont val="Noto Sans CJK SC"/>
        <family val="2"/>
      </rPr>
      <t xml:space="preserve">입력 칸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자동 칸</t>
    </r>
  </si>
  <si>
    <r>
      <rPr>
        <sz val="10"/>
        <color rgb="FF000000"/>
        <rFont val="Noto Sans CJK SC"/>
        <family val="2"/>
      </rPr>
      <t xml:space="preserve">흰색 칸만 입력합니다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연한 파란색 칸은 수식으로 자동 계산되므로 지우거나 덮어쓰지 않습니다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</si>
  <si>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상태값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공통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</si>
  <si>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미착수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시작 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진행중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작업 중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검증완료</t>
    </r>
    <r>
      <rPr>
        <sz val="10"/>
        <color rgb="FF000000"/>
        <rFont val="Arial"/>
        <family val="0"/>
        <charset val="1"/>
      </rPr>
      <t xml:space="preserve">: 1_DoD </t>
    </r>
    <r>
      <rPr>
        <sz val="10"/>
        <color rgb="FF000000"/>
        <rFont val="Noto Sans CJK SC"/>
        <family val="2"/>
      </rPr>
      <t xml:space="preserve">기준 충족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증빙 </t>
    </r>
    <r>
      <rPr>
        <sz val="10"/>
        <color rgb="FF000000"/>
        <rFont val="Arial"/>
        <family val="0"/>
        <charset val="1"/>
      </rPr>
      <t xml:space="preserve">URL </t>
    </r>
    <r>
      <rPr>
        <sz val="10"/>
        <color rgb="FF000000"/>
        <rFont val="Noto Sans CJK SC"/>
        <family val="2"/>
      </rPr>
      <t xml:space="preserve">있음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차단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외부 요인으로 진행 불가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미확인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완료 주장은 있으나 증빙 없음</t>
    </r>
  </si>
  <si>
    <t xml:space="preserve">진척률 계산 규칙</t>
  </si>
  <si>
    <r>
      <rPr>
        <sz val="10"/>
        <color rgb="FF000000"/>
        <rFont val="Noto Sans CJK SC"/>
        <family val="2"/>
      </rPr>
      <t xml:space="preserve">반영 완료율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증빙 </t>
    </r>
    <r>
      <rPr>
        <sz val="10"/>
        <color rgb="FF000000"/>
        <rFont val="Arial"/>
        <family val="0"/>
        <charset val="1"/>
      </rPr>
      <t xml:space="preserve">URL</t>
    </r>
    <r>
      <rPr>
        <sz val="10"/>
        <color rgb="FF000000"/>
        <rFont val="Noto Sans CJK SC"/>
        <family val="2"/>
      </rPr>
      <t xml:space="preserve">이 있으면 ‘검증된 완료율’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없으면 </t>
    </r>
    <r>
      <rPr>
        <sz val="10"/>
        <color rgb="FF000000"/>
        <rFont val="Arial"/>
        <family val="0"/>
        <charset val="1"/>
      </rPr>
      <t xml:space="preserve">0. </t>
    </r>
    <r>
      <rPr>
        <sz val="10"/>
        <color rgb="FF000000"/>
        <rFont val="Noto Sans CJK SC"/>
        <family val="2"/>
      </rPr>
      <t xml:space="preserve">가중 진척률 </t>
    </r>
    <r>
      <rPr>
        <sz val="10"/>
        <color rgb="FF000000"/>
        <rFont val="Arial"/>
        <family val="0"/>
        <charset val="1"/>
      </rPr>
      <t xml:space="preserve">= Σ(</t>
    </r>
    <r>
      <rPr>
        <sz val="10"/>
        <color rgb="FF000000"/>
        <rFont val="Noto Sans CJK SC"/>
        <family val="2"/>
      </rPr>
      <t xml:space="preserve">가중치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반영 완료율</t>
    </r>
    <r>
      <rPr>
        <sz val="10"/>
        <color rgb="FF000000"/>
        <rFont val="Arial"/>
        <family val="0"/>
        <charset val="1"/>
      </rPr>
      <t xml:space="preserve">) ÷ Σ</t>
    </r>
    <r>
      <rPr>
        <sz val="10"/>
        <color rgb="FF000000"/>
        <rFont val="Noto Sans CJK SC"/>
        <family val="2"/>
      </rPr>
      <t xml:space="preserve">가중치</t>
    </r>
  </si>
  <si>
    <t xml:space="preserve">위험 점수</t>
  </si>
  <si>
    <r>
      <rPr>
        <sz val="10"/>
        <color rgb="FF000000"/>
        <rFont val="Noto Sans CJK SC"/>
        <family val="2"/>
      </rPr>
      <t xml:space="preserve">가능성</t>
    </r>
    <r>
      <rPr>
        <sz val="10"/>
        <color rgb="FF000000"/>
        <rFont val="Arial"/>
        <family val="0"/>
        <charset val="1"/>
      </rPr>
      <t xml:space="preserve">(1~5) × </t>
    </r>
    <r>
      <rPr>
        <sz val="10"/>
        <color rgb="FF000000"/>
        <rFont val="Noto Sans CJK SC"/>
        <family val="2"/>
      </rPr>
      <t xml:space="preserve">영향</t>
    </r>
    <r>
      <rPr>
        <sz val="10"/>
        <color rgb="FF000000"/>
        <rFont val="Arial"/>
        <family val="0"/>
        <charset val="1"/>
      </rPr>
      <t xml:space="preserve">(1~5). 15 </t>
    </r>
    <r>
      <rPr>
        <sz val="10"/>
        <color rgb="FF000000"/>
        <rFont val="Noto Sans CJK SC"/>
        <family val="2"/>
      </rPr>
      <t xml:space="preserve">이상 높음 </t>
    </r>
    <r>
      <rPr>
        <sz val="10"/>
        <color rgb="FF000000"/>
        <rFont val="Arial"/>
        <family val="0"/>
        <charset val="1"/>
      </rPr>
      <t xml:space="preserve">· 8~14 </t>
    </r>
    <r>
      <rPr>
        <sz val="10"/>
        <color rgb="FF000000"/>
        <rFont val="Noto Sans CJK SC"/>
        <family val="2"/>
      </rPr>
      <t xml:space="preserve">중간 </t>
    </r>
    <r>
      <rPr>
        <sz val="10"/>
        <color rgb="FF000000"/>
        <rFont val="Arial"/>
        <family val="0"/>
        <charset val="1"/>
      </rPr>
      <t xml:space="preserve">· 7 </t>
    </r>
    <r>
      <rPr>
        <sz val="10"/>
        <color rgb="FF000000"/>
        <rFont val="Noto Sans CJK SC"/>
        <family val="2"/>
      </rPr>
      <t xml:space="preserve">이하 낮음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우선순위 참고용</t>
    </r>
    <r>
      <rPr>
        <sz val="10"/>
        <color rgb="FF000000"/>
        <rFont val="Arial"/>
        <family val="0"/>
        <charset val="1"/>
      </rPr>
      <t xml:space="preserve">)</t>
    </r>
  </si>
  <si>
    <t xml:space="preserve">피드백 조치</t>
  </si>
  <si>
    <r>
      <rPr>
        <sz val="10"/>
        <color rgb="FF000000"/>
        <rFont val="Noto Sans CJK SC"/>
        <family val="2"/>
      </rPr>
      <t xml:space="preserve">수용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이번 주 반영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보류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반영하지 않음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이유 필수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Noto Sans CJK SC"/>
        <family val="2"/>
      </rPr>
      <t xml:space="preserve">추가확인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확인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시험 후 결정</t>
    </r>
  </si>
  <si>
    <t xml:space="preserve">증빙 링크</t>
  </si>
  <si>
    <r>
      <rPr>
        <sz val="10"/>
        <color rgb="FF000000"/>
        <rFont val="Arial"/>
        <family val="0"/>
        <charset val="1"/>
      </rPr>
      <t xml:space="preserve">GitHub </t>
    </r>
    <r>
      <rPr>
        <sz val="10"/>
        <color rgb="FF000000"/>
        <rFont val="Noto Sans CJK SC"/>
        <family val="2"/>
      </rPr>
      <t xml:space="preserve">커밋</t>
    </r>
    <r>
      <rPr>
        <sz val="10"/>
        <color rgb="FF000000"/>
        <rFont val="Arial"/>
        <family val="0"/>
        <charset val="1"/>
      </rPr>
      <t xml:space="preserve">/PR, </t>
    </r>
    <r>
      <rPr>
        <sz val="10"/>
        <color rgb="FF000000"/>
        <rFont val="Noto Sans CJK SC"/>
        <family val="2"/>
      </rPr>
      <t xml:space="preserve">실행 화면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시험 로그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회의록</t>
    </r>
    <r>
      <rPr>
        <sz val="10"/>
        <color rgb="FF000000"/>
        <rFont val="Arial"/>
        <family val="0"/>
        <charset val="1"/>
      </rPr>
      <t xml:space="preserve">. ‘</t>
    </r>
    <r>
      <rPr>
        <sz val="10"/>
        <color rgb="FF000000"/>
        <rFont val="Noto Sans CJK SC"/>
        <family val="2"/>
      </rPr>
      <t xml:space="preserve">링크가 있는 모든 사용자 보기’로 공유했는지 시크릿 창에서 확인</t>
    </r>
  </si>
  <si>
    <t xml:space="preserve">보안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</si>
  <si>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비밀번호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개인 연락처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외부 사용자 개인정보를 입력하지 않습니다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</si>
  <si>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작성 예시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가상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</si>
  <si>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아래는 형식 참고용 가상 데이터입니다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실제 시트에 옮겨 적지 않습니다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</si>
  <si>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3_</t>
    </r>
    <r>
      <rPr>
        <b val="true"/>
        <sz val="10"/>
        <rFont val="Noto Sans CJK SC"/>
        <family val="2"/>
      </rPr>
      <t xml:space="preserve">요구사항추적 예</t>
    </r>
  </si>
  <si>
    <r>
      <rPr>
        <i val="true"/>
        <sz val="10"/>
        <color rgb="FF595959"/>
        <rFont val="Arial"/>
        <family val="0"/>
        <charset val="1"/>
      </rPr>
      <t xml:space="preserve">FR-02 | </t>
    </r>
    <r>
      <rPr>
        <i val="true"/>
        <sz val="10"/>
        <color rgb="FF595959"/>
        <rFont val="Noto Sans CJK SC"/>
        <family val="2"/>
      </rPr>
      <t xml:space="preserve">동일 </t>
    </r>
    <r>
      <rPr>
        <i val="true"/>
        <sz val="10"/>
        <color rgb="FF595959"/>
        <rFont val="Arial"/>
        <family val="0"/>
        <charset val="1"/>
      </rPr>
      <t xml:space="preserve">ID </t>
    </r>
    <r>
      <rPr>
        <i val="true"/>
        <sz val="10"/>
        <color rgb="FF595959"/>
        <rFont val="Noto Sans CJK SC"/>
        <family val="2"/>
      </rPr>
      <t xml:space="preserve">중복 가입 차단 </t>
    </r>
    <r>
      <rPr>
        <i val="true"/>
        <sz val="10"/>
        <color rgb="FF595959"/>
        <rFont val="Arial"/>
        <family val="0"/>
        <charset val="1"/>
      </rPr>
      <t xml:space="preserve">| WBS-04 | </t>
    </r>
    <r>
      <rPr>
        <i val="true"/>
        <sz val="10"/>
        <color rgb="FF595959"/>
        <rFont val="Noto Sans CJK SC"/>
        <family val="2"/>
      </rPr>
      <t xml:space="preserve">홍길동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가상</t>
    </r>
    <r>
      <rPr>
        <i val="true"/>
        <sz val="10"/>
        <color rgb="FF595959"/>
        <rFont val="Arial"/>
        <family val="0"/>
        <charset val="1"/>
      </rPr>
      <t xml:space="preserve">) | TC-02 | </t>
    </r>
    <r>
      <rPr>
        <i val="true"/>
        <sz val="10"/>
        <color rgb="FF595959"/>
        <rFont val="Noto Sans CJK SC"/>
        <family val="2"/>
      </rPr>
      <t xml:space="preserve">오류 메시지 표시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가입 거부 </t>
    </r>
    <r>
      <rPr>
        <i val="true"/>
        <sz val="10"/>
        <color rgb="FF595959"/>
        <rFont val="Arial"/>
        <family val="0"/>
        <charset val="1"/>
      </rPr>
      <t xml:space="preserve">| 5</t>
    </r>
    <r>
      <rPr>
        <i val="true"/>
        <sz val="10"/>
        <color rgb="FF595959"/>
        <rFont val="Noto Sans CJK SC"/>
        <family val="2"/>
      </rPr>
      <t xml:space="preserve">회 중 </t>
    </r>
    <r>
      <rPr>
        <i val="true"/>
        <sz val="10"/>
        <color rgb="FF595959"/>
        <rFont val="Arial"/>
        <family val="0"/>
        <charset val="1"/>
      </rPr>
      <t xml:space="preserve">3</t>
    </r>
    <r>
      <rPr>
        <i val="true"/>
        <sz val="10"/>
        <color rgb="FF595959"/>
        <rFont val="Noto Sans CJK SC"/>
        <family val="2"/>
      </rPr>
      <t xml:space="preserve">회 차단 </t>
    </r>
    <r>
      <rPr>
        <i val="true"/>
        <sz val="10"/>
        <color rgb="FF595959"/>
        <rFont val="Arial"/>
        <family val="0"/>
        <charset val="1"/>
      </rPr>
      <t xml:space="preserve">| (</t>
    </r>
    <r>
      <rPr>
        <i val="true"/>
        <sz val="10"/>
        <color rgb="FF595959"/>
        <rFont val="Noto Sans CJK SC"/>
        <family val="2"/>
      </rPr>
      <t xml:space="preserve">커밋 </t>
    </r>
    <r>
      <rPr>
        <i val="true"/>
        <sz val="10"/>
        <color rgb="FF595959"/>
        <rFont val="Arial"/>
        <family val="0"/>
        <charset val="1"/>
      </rPr>
      <t xml:space="preserve">URL) | </t>
    </r>
    <r>
      <rPr>
        <i val="true"/>
        <sz val="10"/>
        <color rgb="FF595959"/>
        <rFont val="Noto Sans CJK SC"/>
        <family val="2"/>
      </rPr>
      <t xml:space="preserve">진행중</t>
    </r>
  </si>
  <si>
    <r>
      <rPr>
        <b val="true"/>
        <sz val="10"/>
        <rFont val="Arial"/>
        <family val="0"/>
        <charset val="1"/>
      </rPr>
      <t xml:space="preserve">4_WBS</t>
    </r>
    <r>
      <rPr>
        <b val="true"/>
        <sz val="10"/>
        <rFont val="Noto Sans CJK SC"/>
        <family val="2"/>
      </rPr>
      <t xml:space="preserve">진척 예</t>
    </r>
  </si>
  <si>
    <r>
      <rPr>
        <i val="true"/>
        <sz val="10"/>
        <color rgb="FF595959"/>
        <rFont val="Arial"/>
        <family val="0"/>
        <charset val="1"/>
      </rPr>
      <t xml:space="preserve">WBS-04 | </t>
    </r>
    <r>
      <rPr>
        <i val="true"/>
        <sz val="10"/>
        <color rgb="FF595959"/>
        <rFont val="Noto Sans CJK SC"/>
        <family val="2"/>
      </rPr>
      <t xml:space="preserve">중복 가입 차단 </t>
    </r>
    <r>
      <rPr>
        <i val="true"/>
        <sz val="10"/>
        <color rgb="FF595959"/>
        <rFont val="Arial"/>
        <family val="0"/>
        <charset val="1"/>
      </rPr>
      <t xml:space="preserve">| </t>
    </r>
    <r>
      <rPr>
        <i val="true"/>
        <sz val="10"/>
        <color rgb="FF595959"/>
        <rFont val="Noto Sans CJK SC"/>
        <family val="2"/>
      </rPr>
      <t xml:space="preserve">홍길동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가상</t>
    </r>
    <r>
      <rPr>
        <i val="true"/>
        <sz val="10"/>
        <color rgb="FF595959"/>
        <rFont val="Arial"/>
        <family val="0"/>
        <charset val="1"/>
      </rPr>
      <t xml:space="preserve">) | </t>
    </r>
    <r>
      <rPr>
        <i val="true"/>
        <sz val="10"/>
        <color rgb="FF595959"/>
        <rFont val="Noto Sans CJK SC"/>
        <family val="2"/>
      </rPr>
      <t xml:space="preserve">가중치 </t>
    </r>
    <r>
      <rPr>
        <i val="true"/>
        <sz val="10"/>
        <color rgb="FF595959"/>
        <rFont val="Arial"/>
        <family val="0"/>
        <charset val="1"/>
      </rPr>
      <t xml:space="preserve">3 | </t>
    </r>
    <r>
      <rPr>
        <i val="true"/>
        <sz val="10"/>
        <color rgb="FF595959"/>
        <rFont val="Noto Sans CJK SC"/>
        <family val="2"/>
      </rPr>
      <t xml:space="preserve">검증된 완료율 </t>
    </r>
    <r>
      <rPr>
        <i val="true"/>
        <sz val="10"/>
        <color rgb="FF595959"/>
        <rFont val="Arial"/>
        <family val="0"/>
        <charset val="1"/>
      </rPr>
      <t xml:space="preserve">50 | (</t>
    </r>
    <r>
      <rPr>
        <i val="true"/>
        <sz val="10"/>
        <color rgb="FF595959"/>
        <rFont val="Noto Sans CJK SC"/>
        <family val="2"/>
      </rPr>
      <t xml:space="preserve">증빙 </t>
    </r>
    <r>
      <rPr>
        <i val="true"/>
        <sz val="10"/>
        <color rgb="FF595959"/>
        <rFont val="Arial"/>
        <family val="0"/>
        <charset val="1"/>
      </rPr>
      <t xml:space="preserve">URL) | </t>
    </r>
    <r>
      <rPr>
        <i val="true"/>
        <sz val="10"/>
        <color rgb="FF595959"/>
        <rFont val="Noto Sans CJK SC"/>
        <family val="2"/>
      </rPr>
      <t xml:space="preserve">진행중 → 반영 완료율 </t>
    </r>
    <r>
      <rPr>
        <i val="true"/>
        <sz val="10"/>
        <color rgb="FF595959"/>
        <rFont val="Arial"/>
        <family val="0"/>
        <charset val="1"/>
      </rPr>
      <t xml:space="preserve">50, </t>
    </r>
    <r>
      <rPr>
        <i val="true"/>
        <sz val="10"/>
        <color rgb="FF595959"/>
        <rFont val="Noto Sans CJK SC"/>
        <family val="2"/>
      </rPr>
      <t xml:space="preserve">가중치</t>
    </r>
    <r>
      <rPr>
        <i val="true"/>
        <sz val="10"/>
        <color rgb="FF595959"/>
        <rFont val="Arial"/>
        <family val="0"/>
        <charset val="1"/>
      </rPr>
      <t xml:space="preserve">×</t>
    </r>
    <r>
      <rPr>
        <i val="true"/>
        <sz val="10"/>
        <color rgb="FF595959"/>
        <rFont val="Noto Sans CJK SC"/>
        <family val="2"/>
      </rPr>
      <t xml:space="preserve">완료율 </t>
    </r>
    <r>
      <rPr>
        <i val="true"/>
        <sz val="10"/>
        <color rgb="FF595959"/>
        <rFont val="Arial"/>
        <family val="0"/>
        <charset val="1"/>
      </rPr>
      <t xml:space="preserve">150</t>
    </r>
  </si>
  <si>
    <r>
      <rPr>
        <b val="true"/>
        <sz val="10"/>
        <rFont val="Arial"/>
        <family val="0"/>
        <charset val="1"/>
      </rPr>
      <t xml:space="preserve">6_</t>
    </r>
    <r>
      <rPr>
        <b val="true"/>
        <sz val="10"/>
        <rFont val="Noto Sans CJK SC"/>
        <family val="2"/>
      </rPr>
      <t xml:space="preserve">위험관리 예</t>
    </r>
  </si>
  <si>
    <r>
      <rPr>
        <i val="true"/>
        <sz val="10"/>
        <color rgb="FF595959"/>
        <rFont val="Arial"/>
        <family val="0"/>
        <charset val="1"/>
      </rPr>
      <t xml:space="preserve">R-01 | </t>
    </r>
    <r>
      <rPr>
        <i val="true"/>
        <sz val="10"/>
        <color rgb="FF595959"/>
        <rFont val="Noto Sans CJK SC"/>
        <family val="2"/>
      </rPr>
      <t xml:space="preserve">통합 시험 일정 부족 </t>
    </r>
    <r>
      <rPr>
        <i val="true"/>
        <sz val="10"/>
        <color rgb="FF595959"/>
        <rFont val="Arial"/>
        <family val="0"/>
        <charset val="1"/>
      </rPr>
      <t xml:space="preserve">| </t>
    </r>
    <r>
      <rPr>
        <i val="true"/>
        <sz val="10"/>
        <color rgb="FF595959"/>
        <rFont val="Noto Sans CJK SC"/>
        <family val="2"/>
      </rPr>
      <t xml:space="preserve">가능성 </t>
    </r>
    <r>
      <rPr>
        <i val="true"/>
        <sz val="10"/>
        <color rgb="FF595959"/>
        <rFont val="Arial"/>
        <family val="0"/>
        <charset val="1"/>
      </rPr>
      <t xml:space="preserve">3 | </t>
    </r>
    <r>
      <rPr>
        <i val="true"/>
        <sz val="10"/>
        <color rgb="FF595959"/>
        <rFont val="Noto Sans CJK SC"/>
        <family val="2"/>
      </rPr>
      <t xml:space="preserve">영향 </t>
    </r>
    <r>
      <rPr>
        <i val="true"/>
        <sz val="10"/>
        <color rgb="FF595959"/>
        <rFont val="Arial"/>
        <family val="0"/>
        <charset val="1"/>
      </rPr>
      <t xml:space="preserve">4 | </t>
    </r>
    <r>
      <rPr>
        <i val="true"/>
        <sz val="10"/>
        <color rgb="FF595959"/>
        <rFont val="Noto Sans CJK SC"/>
        <family val="2"/>
      </rPr>
      <t xml:space="preserve">점수 </t>
    </r>
    <r>
      <rPr>
        <i val="true"/>
        <sz val="10"/>
        <color rgb="FF595959"/>
        <rFont val="Arial"/>
        <family val="0"/>
        <charset val="1"/>
      </rPr>
      <t xml:space="preserve">12(</t>
    </r>
    <r>
      <rPr>
        <i val="true"/>
        <sz val="10"/>
        <color rgb="FF595959"/>
        <rFont val="Noto Sans CJK SC"/>
        <family val="2"/>
      </rPr>
      <t xml:space="preserve">중간</t>
    </r>
    <r>
      <rPr>
        <i val="true"/>
        <sz val="10"/>
        <color rgb="FF595959"/>
        <rFont val="Arial"/>
        <family val="0"/>
        <charset val="1"/>
      </rPr>
      <t xml:space="preserve">) | </t>
    </r>
    <r>
      <rPr>
        <i val="true"/>
        <sz val="10"/>
        <color rgb="FF595959"/>
        <rFont val="Noto Sans CJK SC"/>
        <family val="2"/>
      </rPr>
      <t xml:space="preserve">시험 시나리오 선작성 </t>
    </r>
    <r>
      <rPr>
        <i val="true"/>
        <sz val="10"/>
        <color rgb="FF595959"/>
        <rFont val="Arial"/>
        <family val="0"/>
        <charset val="1"/>
      </rPr>
      <t xml:space="preserve">| </t>
    </r>
    <r>
      <rPr>
        <i val="true"/>
        <sz val="10"/>
        <color rgb="FF595959"/>
        <rFont val="Noto Sans CJK SC"/>
        <family val="2"/>
      </rPr>
      <t xml:space="preserve">담당 </t>
    </r>
    <r>
      <rPr>
        <i val="true"/>
        <sz val="10"/>
        <color rgb="FF595959"/>
        <rFont val="Arial"/>
        <family val="0"/>
        <charset val="1"/>
      </rPr>
      <t xml:space="preserve">| </t>
    </r>
    <r>
      <rPr>
        <i val="true"/>
        <sz val="10"/>
        <color rgb="FF595959"/>
        <rFont val="Noto Sans CJK SC"/>
        <family val="2"/>
      </rPr>
      <t xml:space="preserve">기한 </t>
    </r>
    <r>
      <rPr>
        <i val="true"/>
        <sz val="10"/>
        <color rgb="FF595959"/>
        <rFont val="Arial"/>
        <family val="0"/>
        <charset val="1"/>
      </rPr>
      <t xml:space="preserve">| </t>
    </r>
    <r>
      <rPr>
        <i val="true"/>
        <sz val="10"/>
        <color rgb="FF595959"/>
        <rFont val="Noto Sans CJK SC"/>
        <family val="2"/>
      </rPr>
      <t xml:space="preserve">시험보고서 등록</t>
    </r>
  </si>
  <si>
    <r>
      <rPr>
        <b val="true"/>
        <sz val="14"/>
        <color rgb="FF1F3864"/>
        <rFont val="Arial"/>
        <family val="0"/>
        <charset val="1"/>
      </rPr>
      <t xml:space="preserve">1. </t>
    </r>
    <r>
      <rPr>
        <b val="true"/>
        <sz val="14"/>
        <color rgb="FF1F3864"/>
        <rFont val="Noto Sans CJK SC"/>
        <family val="2"/>
      </rPr>
      <t xml:space="preserve">완료 기준</t>
    </r>
    <r>
      <rPr>
        <b val="true"/>
        <sz val="14"/>
        <color rgb="FF1F3864"/>
        <rFont val="Arial"/>
        <family val="0"/>
        <charset val="1"/>
      </rPr>
      <t xml:space="preserve">(DoD)</t>
    </r>
    <r>
      <rPr>
        <b val="true"/>
        <sz val="14"/>
        <color rgb="FF1F3864"/>
        <rFont val="Noto Sans CJK SC"/>
        <family val="2"/>
      </rPr>
      <t xml:space="preserve">과 가중치 합의</t>
    </r>
  </si>
  <si>
    <r>
      <rPr>
        <i val="true"/>
        <sz val="9"/>
        <color rgb="FF595959"/>
        <rFont val="Noto Sans CJK SC"/>
        <family val="2"/>
      </rPr>
      <t xml:space="preserve">진척률을 측정하기 전에 팀이 합의합니다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합의 후에는 모든 </t>
    </r>
    <r>
      <rPr>
        <i val="true"/>
        <sz val="9"/>
        <color rgb="FF595959"/>
        <rFont val="Arial"/>
        <family val="0"/>
        <charset val="1"/>
      </rPr>
      <t xml:space="preserve">WBS</t>
    </r>
    <r>
      <rPr>
        <i val="true"/>
        <sz val="9"/>
        <color rgb="FF595959"/>
        <rFont val="Noto Sans CJK SC"/>
        <family val="2"/>
      </rPr>
      <t xml:space="preserve">에 같은 기준을 적용합니다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</si>
  <si>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구분</t>
  </si>
  <si>
    <r>
      <rPr>
        <b val="true"/>
        <sz val="10"/>
        <color rgb="FFFFFFFF"/>
        <rFont val="Noto Sans CJK SC"/>
        <family val="2"/>
      </rPr>
      <t xml:space="preserve">‘검증완료’ 인정 기준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기본안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</si>
  <si>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우리 팀 적용</t>
    </r>
    <r>
      <rPr>
        <b val="true"/>
        <sz val="10"/>
        <color rgb="FFFFFFFF"/>
        <rFont val="Arial"/>
        <family val="0"/>
        <charset val="1"/>
      </rPr>
      <t xml:space="preserve">(○/×)</t>
    </r>
  </si>
  <si>
    <t xml:space="preserve">우리 팀 수정 내용</t>
  </si>
  <si>
    <t xml:space="preserve">구현</t>
  </si>
  <si>
    <r>
      <rPr>
        <sz val="10"/>
        <rFont val="Noto Sans CJK SC"/>
        <family val="2"/>
      </rPr>
      <t xml:space="preserve">코드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산출물이 저장소 </t>
    </r>
    <r>
      <rPr>
        <sz val="10"/>
        <rFont val="Arial"/>
        <family val="0"/>
        <charset val="1"/>
      </rPr>
      <t xml:space="preserve">main(</t>
    </r>
    <r>
      <rPr>
        <sz val="10"/>
        <rFont val="Noto Sans CJK SC"/>
        <family val="2"/>
      </rPr>
      <t xml:space="preserve">또는 합의된 브랜치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반영됨</t>
    </r>
  </si>
  <si>
    <t xml:space="preserve">실행</t>
  </si>
  <si>
    <r>
      <rPr>
        <sz val="10"/>
        <rFont val="Noto Sans CJK SC"/>
        <family val="2"/>
      </rPr>
      <t xml:space="preserve">다른 팀원 </t>
    </r>
    <r>
      <rPr>
        <sz val="10"/>
        <rFont val="Arial"/>
        <family val="0"/>
        <charset val="1"/>
      </rPr>
      <t xml:space="preserve">PC </t>
    </r>
    <r>
      <rPr>
        <sz val="10"/>
        <rFont val="Noto Sans CJK SC"/>
        <family val="2"/>
      </rPr>
      <t xml:space="preserve">또는 시연 환경에서 실행됨</t>
    </r>
  </si>
  <si>
    <t xml:space="preserve">시험</t>
  </si>
  <si>
    <r>
      <rPr>
        <sz val="10"/>
        <rFont val="Noto Sans CJK SC"/>
        <family val="2"/>
      </rPr>
      <t xml:space="preserve">정상 조건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이상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오류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경계 조건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이상 </t>
    </r>
    <r>
      <rPr>
        <sz val="10"/>
        <rFont val="Arial"/>
        <family val="0"/>
        <charset val="1"/>
      </rPr>
      <t xml:space="preserve">TC </t>
    </r>
    <r>
      <rPr>
        <sz val="10"/>
        <rFont val="Noto Sans CJK SC"/>
        <family val="2"/>
      </rPr>
      <t xml:space="preserve">통과</t>
    </r>
  </si>
  <si>
    <t xml:space="preserve">증빙</t>
  </si>
  <si>
    <r>
      <rPr>
        <sz val="10"/>
        <rFont val="Noto Sans CJK SC"/>
        <family val="2"/>
      </rPr>
      <t xml:space="preserve">커밋</t>
    </r>
    <r>
      <rPr>
        <sz val="10"/>
        <rFont val="Arial"/>
        <family val="0"/>
        <charset val="1"/>
      </rPr>
      <t xml:space="preserve">/PR, </t>
    </r>
    <r>
      <rPr>
        <sz val="10"/>
        <rFont val="Noto Sans CJK SC"/>
        <family val="2"/>
      </rPr>
      <t xml:space="preserve">실행 화면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시험 로그 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이상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등록</t>
    </r>
  </si>
  <si>
    <t xml:space="preserve">리뷰</t>
  </si>
  <si>
    <r>
      <rPr>
        <sz val="10"/>
        <rFont val="Noto Sans CJK SC"/>
        <family val="2"/>
      </rPr>
      <t xml:space="preserve">담당자가 아닌 팀원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명이 확인</t>
    </r>
  </si>
  <si>
    <r>
      <rPr>
        <b val="true"/>
        <sz val="10"/>
        <rFont val="Noto Sans CJK SC"/>
        <family val="2"/>
      </rPr>
      <t xml:space="preserve">가중치 </t>
    </r>
    <r>
      <rPr>
        <b val="true"/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</si>
  <si>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시간 이내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기술적 불확실성 낮음</t>
    </r>
  </si>
  <si>
    <r>
      <rPr>
        <b val="true"/>
        <sz val="10"/>
        <rFont val="Noto Sans CJK SC"/>
        <family val="2"/>
      </rPr>
      <t xml:space="preserve">가중치 </t>
    </r>
    <r>
      <rPr>
        <b val="true"/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</si>
  <si>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: 1~2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일부 조사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시행착오 필요</t>
    </r>
  </si>
  <si>
    <r>
      <rPr>
        <b val="true"/>
        <sz val="10"/>
        <rFont val="Noto Sans CJK SC"/>
        <family val="2"/>
      </rPr>
      <t xml:space="preserve">가중치 </t>
    </r>
    <r>
      <rPr>
        <b val="true"/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</si>
  <si>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: 3</t>
    </r>
    <r>
      <rPr>
        <sz val="10"/>
        <rFont val="Noto Sans CJK SC"/>
        <family val="2"/>
      </rPr>
      <t xml:space="preserve">일 이상 또는 핵심 기능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외부 연동 포함</t>
    </r>
  </si>
  <si>
    <t xml:space="preserve">합의일</t>
  </si>
  <si>
    <t xml:space="preserve">합의 참석자</t>
  </si>
  <si>
    <r>
      <rPr>
        <b val="true"/>
        <sz val="14"/>
        <color rgb="FF1F3864"/>
        <rFont val="Arial"/>
        <family val="0"/>
        <charset val="1"/>
      </rPr>
      <t xml:space="preserve">2. 6</t>
    </r>
    <r>
      <rPr>
        <b val="true"/>
        <sz val="14"/>
        <color rgb="FF1F3864"/>
        <rFont val="Noto Sans CJK SC"/>
        <family val="2"/>
      </rPr>
      <t xml:space="preserve">주차 </t>
    </r>
    <r>
      <rPr>
        <b val="true"/>
        <sz val="14"/>
        <color rgb="FF1F3864"/>
        <rFont val="Arial"/>
        <family val="0"/>
        <charset val="1"/>
      </rPr>
      <t xml:space="preserve">Action Plan </t>
    </r>
    <r>
      <rPr>
        <b val="true"/>
        <sz val="14"/>
        <color rgb="FF1F3864"/>
        <rFont val="Noto Sans CJK SC"/>
        <family val="2"/>
      </rPr>
      <t xml:space="preserve">이행 점검</t>
    </r>
  </si>
  <si>
    <r>
      <rPr>
        <i val="true"/>
        <sz val="9"/>
        <color rgb="FF595959"/>
        <rFont val="Arial"/>
        <family val="0"/>
        <charset val="1"/>
      </rPr>
      <t xml:space="preserve">6</t>
    </r>
    <r>
      <rPr>
        <i val="true"/>
        <sz val="9"/>
        <color rgb="FF595959"/>
        <rFont val="Noto Sans CJK SC"/>
        <family val="2"/>
      </rPr>
      <t xml:space="preserve">주차 </t>
    </r>
    <r>
      <rPr>
        <i val="true"/>
        <sz val="9"/>
        <color rgb="FF595959"/>
        <rFont val="Arial"/>
        <family val="0"/>
        <charset val="1"/>
      </rPr>
      <t xml:space="preserve">action_plan(A-01 …)</t>
    </r>
    <r>
      <rPr>
        <i val="true"/>
        <sz val="9"/>
        <color rgb="FF595959"/>
        <rFont val="Noto Sans CJK SC"/>
        <family val="2"/>
      </rPr>
      <t xml:space="preserve">을 옮겨 적고 실제 결과를 기록합니다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결과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완료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부분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미이행</t>
    </r>
  </si>
  <si>
    <t xml:space="preserve">Action ID</t>
  </si>
  <si>
    <t xml:space="preserve">Issue ID</t>
  </si>
  <si>
    <r>
      <rPr>
        <b val="true"/>
        <sz val="10"/>
        <color rgb="FFFFFFFF"/>
        <rFont val="Noto Sans CJK SC"/>
        <family val="2"/>
      </rPr>
      <t xml:space="preserve">조치 내용</t>
    </r>
    <r>
      <rPr>
        <b val="true"/>
        <sz val="10"/>
        <color rgb="FFFFFFFF"/>
        <rFont val="Arial"/>
        <family val="0"/>
        <charset val="1"/>
      </rPr>
      <t xml:space="preserve">(6</t>
    </r>
    <r>
      <rPr>
        <b val="true"/>
        <sz val="10"/>
        <color rgb="FFFFFFFF"/>
        <rFont val="Noto Sans CJK SC"/>
        <family val="2"/>
      </rPr>
      <t xml:space="preserve">주차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</si>
  <si>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담당</t>
  </si>
  <si>
    <t xml:space="preserve">기한</t>
  </si>
  <si>
    <t xml:space="preserve">결과</t>
  </si>
  <si>
    <r>
      <rPr>
        <b val="true"/>
        <sz val="10"/>
        <color rgb="FFFFFFFF"/>
        <rFont val="Noto Sans CJK SC"/>
        <family val="2"/>
      </rPr>
      <t xml:space="preserve">증빙 </t>
    </r>
    <r>
      <rPr>
        <b val="true"/>
        <sz val="10"/>
        <color rgb="FFFFFFFF"/>
        <rFont val="Arial"/>
        <family val="0"/>
        <charset val="1"/>
      </rPr>
      <t xml:space="preserve">URL</t>
    </r>
  </si>
  <si>
    <r>
      <rPr>
        <b val="true"/>
        <sz val="10"/>
        <color rgb="FFFFFFFF"/>
        <rFont val="Noto Sans CJK SC"/>
        <family val="2"/>
      </rPr>
      <t xml:space="preserve">미이행 사유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후속 조치</t>
    </r>
  </si>
  <si>
    <r>
      <rPr>
        <b val="true"/>
        <sz val="14"/>
        <color rgb="FF1F3864"/>
        <rFont val="Arial"/>
        <family val="0"/>
        <charset val="1"/>
      </rPr>
      <t xml:space="preserve">3. </t>
    </r>
    <r>
      <rPr>
        <b val="true"/>
        <sz val="14"/>
        <color rgb="FF1F3864"/>
        <rFont val="Noto Sans CJK SC"/>
        <family val="2"/>
      </rPr>
      <t xml:space="preserve">요구사항 추적표 </t>
    </r>
    <r>
      <rPr>
        <b val="true"/>
        <sz val="14"/>
        <color rgb="FF1F3864"/>
        <rFont val="Arial"/>
        <family val="0"/>
        <charset val="1"/>
      </rPr>
      <t xml:space="preserve">(FR → WBS → </t>
    </r>
    <r>
      <rPr>
        <b val="true"/>
        <sz val="14"/>
        <color rgb="FF1F3864"/>
        <rFont val="Noto Sans CJK SC"/>
        <family val="2"/>
      </rPr>
      <t xml:space="preserve">시험 → 증빙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</si>
  <si>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FR </t>
    </r>
    <r>
      <rPr>
        <i val="true"/>
        <sz val="9"/>
        <color rgb="FF595959"/>
        <rFont val="Noto Sans CJK SC"/>
        <family val="2"/>
      </rPr>
      <t xml:space="preserve">하나가 어떤 작업</t>
    </r>
    <r>
      <rPr>
        <i val="true"/>
        <sz val="9"/>
        <color rgb="FF595959"/>
        <rFont val="Arial"/>
        <family val="0"/>
        <charset val="1"/>
      </rPr>
      <t xml:space="preserve">(WBS)</t>
    </r>
    <r>
      <rPr>
        <i val="true"/>
        <sz val="9"/>
        <color rgb="FF595959"/>
        <rFont val="Noto Sans CJK SC"/>
        <family val="2"/>
      </rPr>
      <t xml:space="preserve">으로 구현되고 어떤 시험</t>
    </r>
    <r>
      <rPr>
        <i val="true"/>
        <sz val="9"/>
        <color rgb="FF595959"/>
        <rFont val="Arial"/>
        <family val="0"/>
        <charset val="1"/>
      </rPr>
      <t xml:space="preserve">(TC)</t>
    </r>
    <r>
      <rPr>
        <i val="true"/>
        <sz val="9"/>
        <color rgb="FF595959"/>
        <rFont val="Noto Sans CJK SC"/>
        <family val="2"/>
      </rPr>
      <t xml:space="preserve">으로 확인되었는지 한 행에 연결합니다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한 </t>
    </r>
    <r>
      <rPr>
        <i val="true"/>
        <sz val="9"/>
        <color rgb="FF595959"/>
        <rFont val="Arial"/>
        <family val="0"/>
        <charset val="1"/>
      </rPr>
      <t xml:space="preserve">FR</t>
    </r>
    <r>
      <rPr>
        <i val="true"/>
        <sz val="9"/>
        <color rgb="FF595959"/>
        <rFont val="Noto Sans CJK SC"/>
        <family val="2"/>
      </rPr>
      <t xml:space="preserve">에 여러 </t>
    </r>
    <r>
      <rPr>
        <i val="true"/>
        <sz val="9"/>
        <color rgb="FF595959"/>
        <rFont val="Arial"/>
        <family val="0"/>
        <charset val="1"/>
      </rPr>
      <t xml:space="preserve">TC</t>
    </r>
    <r>
      <rPr>
        <i val="true"/>
        <sz val="9"/>
        <color rgb="FF595959"/>
        <rFont val="Noto Sans CJK SC"/>
        <family val="2"/>
      </rPr>
      <t xml:space="preserve">가 있으면 행을 나눕니다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</si>
  <si>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FR ID</t>
  </si>
  <si>
    <t xml:space="preserve">요구사항</t>
  </si>
  <si>
    <t xml:space="preserve">WBS ID</t>
  </si>
  <si>
    <t xml:space="preserve">TC ID</t>
  </si>
  <si>
    <t xml:space="preserve">기대 결과</t>
  </si>
  <si>
    <t xml:space="preserve">실제 결과</t>
  </si>
  <si>
    <t xml:space="preserve">상태</t>
  </si>
  <si>
    <t xml:space="preserve">확인일</t>
  </si>
  <si>
    <r>
      <rPr>
        <b val="true"/>
        <sz val="14"/>
        <color rgb="FF1F3864"/>
        <rFont val="Arial"/>
        <family val="0"/>
        <charset val="1"/>
      </rPr>
      <t xml:space="preserve">4. WBS </t>
    </r>
    <r>
      <rPr>
        <b val="true"/>
        <sz val="14"/>
        <color rgb="FF1F3864"/>
        <rFont val="Noto Sans CJK SC"/>
        <family val="2"/>
      </rPr>
      <t xml:space="preserve">진척률</t>
    </r>
  </si>
  <si>
    <r>
      <rPr>
        <i val="true"/>
        <sz val="9"/>
        <color rgb="FF595959"/>
        <rFont val="Noto Sans CJK SC"/>
        <family val="2"/>
      </rPr>
      <t xml:space="preserve">흰 칸만 입력합니다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증빙 </t>
    </r>
    <r>
      <rPr>
        <i val="true"/>
        <sz val="9"/>
        <color rgb="FF595959"/>
        <rFont val="Arial"/>
        <family val="0"/>
        <charset val="1"/>
      </rPr>
      <t xml:space="preserve">URL</t>
    </r>
    <r>
      <rPr>
        <i val="true"/>
        <sz val="9"/>
        <color rgb="FF595959"/>
        <rFont val="Noto Sans CJK SC"/>
        <family val="2"/>
      </rPr>
      <t xml:space="preserve">이 비어 있으면 반영 완료율은 자동으로 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Noto Sans CJK SC"/>
        <family val="2"/>
      </rPr>
      <t xml:space="preserve">이 됩니다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</si>
  <si>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가중 진척률</t>
    </r>
    <r>
      <rPr>
        <b val="true"/>
        <sz val="10"/>
        <rFont val="Arial"/>
        <family val="0"/>
        <charset val="1"/>
      </rPr>
      <t xml:space="preserve">(%)</t>
    </r>
  </si>
  <si>
    <r>
      <rPr>
        <b val="true"/>
        <sz val="10"/>
        <rFont val="Noto Sans CJK SC"/>
        <family val="2"/>
      </rPr>
      <t xml:space="preserve">단순 완료율</t>
    </r>
    <r>
      <rPr>
        <b val="true"/>
        <sz val="10"/>
        <rFont val="Arial"/>
        <family val="0"/>
        <charset val="1"/>
      </rPr>
      <t xml:space="preserve">(%)</t>
    </r>
  </si>
  <si>
    <r>
      <rPr>
        <b val="true"/>
        <sz val="10"/>
        <rFont val="Noto Sans CJK SC"/>
        <family val="2"/>
      </rPr>
      <t xml:space="preserve">계획 진척률</t>
    </r>
    <r>
      <rPr>
        <b val="true"/>
        <sz val="10"/>
        <rFont val="Arial"/>
        <family val="0"/>
        <charset val="1"/>
      </rPr>
      <t xml:space="preserve">(%) — </t>
    </r>
    <r>
      <rPr>
        <b val="true"/>
        <sz val="10"/>
        <rFont val="Noto Sans CJK SC"/>
        <family val="2"/>
      </rPr>
      <t xml:space="preserve">직접 입력</t>
    </r>
  </si>
  <si>
    <r>
      <rPr>
        <b val="true"/>
        <sz val="10"/>
        <rFont val="Noto Sans CJK SC"/>
        <family val="2"/>
      </rPr>
      <t xml:space="preserve">계획 대비 차이</t>
    </r>
    <r>
      <rPr>
        <b val="true"/>
        <sz val="10"/>
        <rFont val="Arial"/>
        <family val="0"/>
        <charset val="1"/>
      </rPr>
      <t xml:space="preserve">(%p)</t>
    </r>
  </si>
  <si>
    <t xml:space="preserve">작업명</t>
  </si>
  <si>
    <r>
      <rPr>
        <b val="true"/>
        <sz val="10"/>
        <color rgb="FFFFFFFF"/>
        <rFont val="Noto Sans CJK SC"/>
        <family val="2"/>
      </rPr>
      <t xml:space="preserve">가중치</t>
    </r>
    <r>
      <rPr>
        <b val="true"/>
        <sz val="10"/>
        <color rgb="FFFFFFFF"/>
        <rFont val="Arial"/>
        <family val="0"/>
        <charset val="1"/>
      </rPr>
      <t xml:space="preserve">(1~3)</t>
    </r>
  </si>
  <si>
    <r>
      <rPr>
        <b val="true"/>
        <sz val="10"/>
        <color rgb="FFFFFFFF"/>
        <rFont val="Noto Sans CJK SC"/>
        <family val="2"/>
      </rPr>
      <t xml:space="preserve">검증된 완료율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</si>
  <si>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다음 조치</t>
  </si>
  <si>
    <r>
      <rPr>
        <b val="true"/>
        <sz val="10"/>
        <color rgb="FFFFFFFF"/>
        <rFont val="Noto Sans CJK SC"/>
        <family val="2"/>
      </rPr>
      <t xml:space="preserve">반영 완료율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</si>
  <si>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가중치</t>
    </r>
    <r>
      <rPr>
        <b val="true"/>
        <sz val="10"/>
        <color rgb="FFFFFFFF"/>
        <rFont val="Arial"/>
        <family val="0"/>
        <charset val="1"/>
      </rPr>
      <t xml:space="preserve">×</t>
    </r>
    <r>
      <rPr>
        <b val="true"/>
        <sz val="10"/>
        <color rgb="FFFFFFFF"/>
        <rFont val="Noto Sans CJK SC"/>
        <family val="2"/>
      </rPr>
      <t xml:space="preserve">완료율</t>
    </r>
  </si>
  <si>
    <r>
      <rPr>
        <b val="true"/>
        <sz val="14"/>
        <color rgb="FF1F3864"/>
        <rFont val="Arial"/>
        <family val="0"/>
        <charset val="1"/>
      </rPr>
      <t xml:space="preserve">5. </t>
    </r>
    <r>
      <rPr>
        <b val="true"/>
        <sz val="14"/>
        <color rgb="FF1F3864"/>
        <rFont val="Noto Sans CJK SC"/>
        <family val="2"/>
      </rPr>
      <t xml:space="preserve">시험</t>
    </r>
    <r>
      <rPr>
        <b val="true"/>
        <sz val="14"/>
        <color rgb="FF1F3864"/>
        <rFont val="Arial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시연 결과</t>
    </r>
  </si>
  <si>
    <r>
      <rPr>
        <i val="true"/>
        <sz val="9"/>
        <color rgb="FF595959"/>
        <rFont val="Noto Sans CJK SC"/>
        <family val="2"/>
      </rPr>
      <t xml:space="preserve">기능마다 정상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건 이상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오류 또는 경계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건 이상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실패도 지우지 말고 재현 절차와 재시험 계획을 남깁니다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</si>
  <si>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관련 </t>
    </r>
    <r>
      <rPr>
        <b val="true"/>
        <sz val="10"/>
        <color rgb="FFFFFFFF"/>
        <rFont val="Arial"/>
        <family val="0"/>
        <charset val="1"/>
      </rPr>
      <t xml:space="preserve">FR</t>
    </r>
  </si>
  <si>
    <t xml:space="preserve">유형</t>
  </si>
  <si>
    <r>
      <rPr>
        <b val="true"/>
        <sz val="10"/>
        <color rgb="FFFFFFFF"/>
        <rFont val="Noto Sans CJK SC"/>
        <family val="2"/>
      </rPr>
      <t xml:space="preserve">입력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조건</t>
    </r>
  </si>
  <si>
    <t xml:space="preserve">판정</t>
  </si>
  <si>
    <t xml:space="preserve">시험일시</t>
  </si>
  <si>
    <t xml:space="preserve">시험자</t>
  </si>
  <si>
    <r>
      <rPr>
        <b val="true"/>
        <sz val="10"/>
        <color rgb="FFFFFFFF"/>
        <rFont val="Noto Sans CJK SC"/>
        <family val="2"/>
      </rPr>
      <t xml:space="preserve">실패 시 재현 절차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재시험 계획</t>
    </r>
  </si>
  <si>
    <r>
      <rPr>
        <b val="true"/>
        <sz val="14"/>
        <color rgb="FF1F3864"/>
        <rFont val="Arial"/>
        <family val="0"/>
        <charset val="1"/>
      </rPr>
      <t xml:space="preserve">6. </t>
    </r>
    <r>
      <rPr>
        <b val="true"/>
        <sz val="14"/>
        <color rgb="FF1F3864"/>
        <rFont val="Noto Sans CJK SC"/>
        <family val="2"/>
      </rPr>
      <t xml:space="preserve">위험</t>
    </r>
    <r>
      <rPr>
        <b val="true"/>
        <sz val="14"/>
        <color rgb="FF1F3864"/>
        <rFont val="Arial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이슈 관리</t>
    </r>
  </si>
  <si>
    <r>
      <rPr>
        <i val="true"/>
        <sz val="9"/>
        <color rgb="FF595959"/>
        <rFont val="Noto Sans CJK SC"/>
        <family val="2"/>
      </rPr>
      <t xml:space="preserve">점수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등급은 자동 계산됩니다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점수가 높은 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건을 팀 진행현황 보고서 </t>
    </r>
    <r>
      <rPr>
        <i val="true"/>
        <sz val="9"/>
        <color rgb="FF595959"/>
        <rFont val="Arial"/>
        <family val="0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번에 옮겨 적습니다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</si>
  <si>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위험 </t>
    </r>
    <r>
      <rPr>
        <b val="true"/>
        <sz val="10"/>
        <color rgb="FFFFFFFF"/>
        <rFont val="Arial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</si>
  <si>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위험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이슈 내용</t>
    </r>
  </si>
  <si>
    <r>
      <rPr>
        <b val="true"/>
        <sz val="10"/>
        <color rgb="FFFFFFFF"/>
        <rFont val="Noto Sans CJK SC"/>
        <family val="2"/>
      </rPr>
      <t xml:space="preserve">가능성</t>
    </r>
    <r>
      <rPr>
        <b val="true"/>
        <sz val="10"/>
        <color rgb="FFFFFFFF"/>
        <rFont val="Arial"/>
        <family val="0"/>
        <charset val="1"/>
      </rPr>
      <t xml:space="preserve">(1~5)</t>
    </r>
  </si>
  <si>
    <r>
      <rPr>
        <b val="true"/>
        <sz val="10"/>
        <color rgb="FFFFFFFF"/>
        <rFont val="Noto Sans CJK SC"/>
        <family val="2"/>
      </rPr>
      <t xml:space="preserve">영향</t>
    </r>
    <r>
      <rPr>
        <b val="true"/>
        <sz val="10"/>
        <color rgb="FFFFFFFF"/>
        <rFont val="Arial"/>
        <family val="0"/>
        <charset val="1"/>
      </rPr>
      <t xml:space="preserve">(1~5)</t>
    </r>
  </si>
  <si>
    <t xml:space="preserve">점수</t>
  </si>
  <si>
    <t xml:space="preserve">등급</t>
  </si>
  <si>
    <t xml:space="preserve">대응 방안</t>
  </si>
  <si>
    <t xml:space="preserve">완료 확인 방법</t>
  </si>
  <si>
    <r>
      <rPr>
        <b val="true"/>
        <sz val="14"/>
        <color rgb="FF1F3864"/>
        <rFont val="Arial"/>
        <family val="0"/>
        <charset val="1"/>
      </rPr>
      <t xml:space="preserve">7. </t>
    </r>
    <r>
      <rPr>
        <b val="true"/>
        <sz val="14"/>
        <color rgb="FF1F3864"/>
        <rFont val="Noto Sans CJK SC"/>
        <family val="2"/>
      </rPr>
      <t xml:space="preserve">피드백 기록</t>
    </r>
  </si>
  <si>
    <r>
      <rPr>
        <i val="true"/>
        <sz val="9"/>
        <color rgb="FF595959"/>
        <rFont val="Noto Sans CJK SC"/>
        <family val="2"/>
      </rPr>
      <t xml:space="preserve">발표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회의에서 받은 피드백을 기록하고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반영 결과를 마지막 열에 남깁니다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</si>
  <si>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일시</t>
  </si>
  <si>
    <t xml:space="preserve">제공자</t>
  </si>
  <si>
    <r>
      <rPr>
        <b val="true"/>
        <sz val="10"/>
        <color rgb="FFFFFFFF"/>
        <rFont val="Noto Sans CJK SC"/>
        <family val="2"/>
      </rPr>
      <t xml:space="preserve">질문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피드백</t>
    </r>
  </si>
  <si>
    <r>
      <rPr>
        <b val="true"/>
        <sz val="10"/>
        <color rgb="FFFFFFFF"/>
        <rFont val="Noto Sans CJK SC"/>
        <family val="2"/>
      </rPr>
      <t xml:space="preserve">우리 답변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근거</t>
    </r>
  </si>
  <si>
    <t xml:space="preserve">조치</t>
  </si>
  <si>
    <t xml:space="preserve">판단 이유</t>
  </si>
  <si>
    <t xml:space="preserve">완료 기준</t>
  </si>
  <si>
    <r>
      <rPr>
        <b val="true"/>
        <sz val="10"/>
        <color rgb="FFFFFFFF"/>
        <rFont val="Noto Sans CJK SC"/>
        <family val="2"/>
      </rPr>
      <t xml:space="preserve">결과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증빙 </t>
    </r>
    <r>
      <rPr>
        <b val="true"/>
        <sz val="10"/>
        <color rgb="FFFFFFFF"/>
        <rFont val="Arial"/>
        <family val="0"/>
        <charset val="1"/>
      </rPr>
      <t xml:space="preserve">URL</t>
    </r>
  </si>
  <si>
    <r>
      <rPr>
        <b val="true"/>
        <sz val="14"/>
        <color rgb="FF1F3864"/>
        <rFont val="Arial"/>
        <family val="0"/>
        <charset val="1"/>
      </rPr>
      <t xml:space="preserve">8. </t>
    </r>
    <r>
      <rPr>
        <b val="true"/>
        <sz val="14"/>
        <color rgb="FF1F3864"/>
        <rFont val="Noto Sans CJK SC"/>
        <family val="2"/>
      </rPr>
      <t xml:space="preserve">팀원별 기여 기록</t>
    </r>
  </si>
  <si>
    <r>
      <rPr>
        <i val="true"/>
        <sz val="9"/>
        <color rgb="FF595959"/>
        <rFont val="Noto Sans CJK SC"/>
        <family val="2"/>
      </rPr>
      <t xml:space="preserve">매주 누적 기록합니다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다른 팀원이 내용을 확인한 뒤 확인자 칸에 이름을 씁니다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개인 </t>
    </r>
    <r>
      <rPr>
        <i val="true"/>
        <sz val="9"/>
        <color rgb="FF595959"/>
        <rFont val="Arial"/>
        <family val="0"/>
        <charset val="1"/>
      </rPr>
      <t xml:space="preserve">PBL·</t>
    </r>
    <r>
      <rPr>
        <i val="true"/>
        <sz val="9"/>
        <color rgb="FF595959"/>
        <rFont val="Noto Sans CJK SC"/>
        <family val="2"/>
      </rPr>
      <t xml:space="preserve">포트폴리오의 근거가 됩니다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</si>
  <si>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주차</t>
  </si>
  <si>
    <t xml:space="preserve">이름</t>
  </si>
  <si>
    <r>
      <rPr>
        <b val="true"/>
        <sz val="10"/>
        <color rgb="FFFFFFFF"/>
        <rFont val="Noto Sans CJK SC"/>
        <family val="2"/>
      </rPr>
      <t xml:space="preserve">담당 </t>
    </r>
    <r>
      <rPr>
        <b val="true"/>
        <sz val="10"/>
        <color rgb="FFFFFFFF"/>
        <rFont val="Arial"/>
        <family val="0"/>
        <charset val="1"/>
      </rPr>
      <t xml:space="preserve">WBS/FR</t>
    </r>
  </si>
  <si>
    <t xml:space="preserve">수행 내용</t>
  </si>
  <si>
    <r>
      <rPr>
        <b val="true"/>
        <sz val="10"/>
        <color rgb="FFFFFFFF"/>
        <rFont val="Noto Sans CJK SC"/>
        <family val="2"/>
      </rPr>
      <t xml:space="preserve">산출물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증빙 </t>
    </r>
    <r>
      <rPr>
        <b val="true"/>
        <sz val="10"/>
        <color rgb="FFFFFFFF"/>
        <rFont val="Arial"/>
        <family val="0"/>
        <charset val="1"/>
      </rPr>
      <t xml:space="preserve">URL</t>
    </r>
  </si>
  <si>
    <r>
      <rPr>
        <b val="true"/>
        <sz val="10"/>
        <color rgb="FFFFFFFF"/>
        <rFont val="Noto Sans CJK SC"/>
        <family val="2"/>
      </rPr>
      <t xml:space="preserve">투입 시간</t>
    </r>
    <r>
      <rPr>
        <b val="true"/>
        <sz val="10"/>
        <color rgb="FFFFFFFF"/>
        <rFont val="Arial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</si>
  <si>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확인자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다른 팀원</t>
    </r>
    <r>
      <rPr>
        <b val="true"/>
        <sz val="10"/>
        <color rgb="FFFFFFFF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</si>
</sst>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6"/>
      <color rgb="FF1F3864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595959"/>
      <name val="Noto Sans CJK SC"/>
      <family val="2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6F9"/>
        <bgColor rgb="FFEDF1F7"/>
      </patternFill>
    </fill>
    <fill>
      <patternFill patternType="solid">
        <fgColor rgb="FF1F3864"/>
        <bgColor rgb="FF333333"/>
      </patternFill>
    </fill>
    <fill>
      <patternFill patternType="solid">
        <fgColor rgb="FFEDF1F7"/>
        <bgColor rgb="FFF4F6F9"/>
      </patternFill>
    </fill>
    <fill>
      <patternFill patternType="solid">
        <fgColor rgb="FFFFFFFF"/>
        <bgColor rgb="FFF4F6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EA0BF"/>
      </left>
      <right style="thin">
        <color rgb="FF8EA0BF"/>
      </right>
      <top style="thin">
        <color rgb="FF8EA0BF"/>
      </top>
      <bottom style="thin">
        <color rgb="FF8EA0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2EFDA"/>
        </patternFill>
      </fill>
    </dxf>
    <dxf>
      <fill>
        <patternFill>
          <bgColor rgb="FFFCE4E4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7"/>
      <rgbColor rgb="FFE2EFDA"/>
      <rgbColor rgb="FFF4F6F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8EA0B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4" t="s">
        <v>3</v>
      </c>
    </row>
    <row r="5" customFormat="false" ht="33.75" hidden="false" customHeight="true" outlineLevel="0" collapsed="false">
      <c r="A5" s="3" t="s">
        <v>4</v>
      </c>
      <c r="B5" s="4" t="s">
        <v>5</v>
      </c>
    </row>
    <row r="6" customFormat="false" ht="33.75" hidden="false" customHeight="true" outlineLevel="0" collapsed="false">
      <c r="A6" s="3" t="s">
        <v>6</v>
      </c>
      <c r="B6" s="4" t="s">
        <v>7</v>
      </c>
    </row>
    <row r="7" customFormat="false" ht="33.75" hidden="false" customHeight="true" outlineLevel="0" collapsed="false">
      <c r="A7" s="3" t="s">
        <v>8</v>
      </c>
      <c r="B7" s="4" t="s">
        <v>9</v>
      </c>
    </row>
    <row r="8" customFormat="false" ht="33.75" hidden="false" customHeight="true" outlineLevel="0" collapsed="false">
      <c r="A8" s="3" t="s">
        <v>10</v>
      </c>
      <c r="B8" s="4" t="s">
        <v>11</v>
      </c>
    </row>
    <row r="9" customFormat="false" ht="33.75" hidden="false" customHeight="true" outlineLevel="0" collapsed="false">
      <c r="A9" s="3" t="s">
        <v>12</v>
      </c>
      <c r="B9" s="4" t="s">
        <v>13</v>
      </c>
    </row>
    <row r="10" customFormat="false" ht="33.75" hidden="false" customHeight="true" outlineLevel="0" collapsed="false">
      <c r="A10" s="3" t="s">
        <v>14</v>
      </c>
      <c r="B10" s="5" t="s">
        <v>15</v>
      </c>
    </row>
    <row r="11" customFormat="false" ht="33.75" hidden="false" customHeight="true" outlineLevel="0" collapsed="false">
      <c r="A11" s="3" t="s">
        <v>16</v>
      </c>
      <c r="B11" s="5" t="s">
        <v>17</v>
      </c>
    </row>
    <row r="13" customFormat="false" ht="33.75" hidden="false" customHeight="true" outlineLevel="0" collapsed="false">
      <c r="A13" s="3" t="s">
        <v>18</v>
      </c>
      <c r="B13" s="4" t="s">
        <v>19</v>
      </c>
    </row>
    <row r="14" customFormat="false" ht="33.75" hidden="false" customHeight="true" outlineLevel="0" collapsed="false">
      <c r="A14" s="6" t="s">
        <v>20</v>
      </c>
      <c r="B14" s="7" t="s">
        <v>21</v>
      </c>
    </row>
    <row r="15" customFormat="false" ht="33.75" hidden="false" customHeight="true" outlineLevel="0" collapsed="false">
      <c r="A15" s="6" t="s">
        <v>22</v>
      </c>
      <c r="B15" s="7" t="s">
        <v>23</v>
      </c>
    </row>
    <row r="16" customFormat="false" ht="33.75" hidden="false" customHeight="true" outlineLevel="0" collapsed="false">
      <c r="A16" s="6" t="s">
        <v>24</v>
      </c>
      <c r="B16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50"/>
  </cols>
  <sheetData>
    <row r="1" customFormat="false" ht="21.6" hidden="false" customHeight="false" outlineLevel="0" collapsed="false">
      <c r="A1" s="8" t="s">
        <v>26</v>
      </c>
    </row>
    <row r="2" customFormat="false" ht="15" hidden="false" customHeight="false" outlineLevel="0" collapsed="false">
      <c r="A2" s="9" t="s">
        <v>27</v>
      </c>
    </row>
    <row r="3" customFormat="false" ht="31.5" hidden="false" customHeight="true" outlineLevel="0" collapsed="false">
      <c r="A3" s="10" t="s">
        <v>28</v>
      </c>
      <c r="B3" s="10" t="s">
        <v>29</v>
      </c>
      <c r="C3" s="10" t="s">
        <v>30</v>
      </c>
      <c r="D3" s="10" t="s">
        <v>31</v>
      </c>
    </row>
    <row r="4" customFormat="false" ht="15" hidden="false" customHeight="false" outlineLevel="0" collapsed="false">
      <c r="A4" s="11" t="s">
        <v>32</v>
      </c>
      <c r="B4" s="12" t="s">
        <v>33</v>
      </c>
      <c r="C4" s="13"/>
      <c r="D4" s="13"/>
    </row>
    <row r="5" customFormat="false" ht="15" hidden="false" customHeight="false" outlineLevel="0" collapsed="false">
      <c r="A5" s="11" t="s">
        <v>34</v>
      </c>
      <c r="B5" s="12" t="s">
        <v>35</v>
      </c>
      <c r="C5" s="13"/>
      <c r="D5" s="13"/>
    </row>
    <row r="6" customFormat="false" ht="15" hidden="false" customHeight="false" outlineLevel="0" collapsed="false">
      <c r="A6" s="11" t="s">
        <v>36</v>
      </c>
      <c r="B6" s="12" t="s">
        <v>37</v>
      </c>
      <c r="C6" s="13"/>
      <c r="D6" s="13"/>
    </row>
    <row r="7" customFormat="false" ht="15" hidden="false" customHeight="false" outlineLevel="0" collapsed="false">
      <c r="A7" s="11" t="s">
        <v>38</v>
      </c>
      <c r="B7" s="12" t="s">
        <v>39</v>
      </c>
      <c r="C7" s="13"/>
      <c r="D7" s="13"/>
    </row>
    <row r="8" customFormat="false" ht="15" hidden="false" customHeight="false" outlineLevel="0" collapsed="false">
      <c r="A8" s="11" t="s">
        <v>40</v>
      </c>
      <c r="B8" s="12" t="s">
        <v>41</v>
      </c>
      <c r="C8" s="13"/>
      <c r="D8" s="13"/>
    </row>
    <row r="9" customFormat="false" ht="15" hidden="false" customHeight="false" outlineLevel="0" collapsed="false">
      <c r="A9" s="11" t="s">
        <v>42</v>
      </c>
      <c r="B9" s="12" t="s">
        <v>43</v>
      </c>
      <c r="C9" s="13"/>
      <c r="D9" s="13"/>
    </row>
    <row r="10" customFormat="false" ht="15" hidden="false" customHeight="false" outlineLevel="0" collapsed="false">
      <c r="A10" s="11" t="s">
        <v>44</v>
      </c>
      <c r="B10" s="12" t="s">
        <v>45</v>
      </c>
      <c r="C10" s="13"/>
      <c r="D10" s="13"/>
    </row>
    <row r="11" customFormat="false" ht="15" hidden="false" customHeight="false" outlineLevel="0" collapsed="false">
      <c r="A11" s="11" t="s">
        <v>46</v>
      </c>
      <c r="B11" s="12" t="s">
        <v>47</v>
      </c>
      <c r="C11" s="13"/>
      <c r="D11" s="13"/>
    </row>
    <row r="13" customFormat="false" ht="15" hidden="false" customHeight="false" outlineLevel="0" collapsed="false">
      <c r="A13" s="14" t="s">
        <v>48</v>
      </c>
      <c r="B13" s="15"/>
    </row>
    <row r="14" customFormat="false" ht="15" hidden="false" customHeight="false" outlineLevel="0" collapsed="false">
      <c r="A14" s="14" t="s">
        <v>49</v>
      </c>
      <c r="B14" s="15"/>
    </row>
  </sheetData>
  <dataValidations count="1">
    <dataValidation allowBlank="true" error="목록에서 선택하세요: ○, ×" errorStyle="stop" errorTitle="입력값 확인" operator="between" showDropDown="false" showErrorMessage="true" showInputMessage="false" sqref="C4:C8" type="list">
      <formula1>"○,×"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40"/>
    <col collapsed="false" customWidth="true" hidden="false" outlineLevel="0" max="6" min="4" style="0" width="12"/>
    <col collapsed="false" customWidth="true" hidden="false" outlineLevel="0" max="7" min="7" style="0" width="36"/>
    <col collapsed="false" customWidth="true" hidden="false" outlineLevel="0" max="8" min="8" style="0" width="40"/>
  </cols>
  <sheetData>
    <row r="1" customFormat="false" ht="21.6" hidden="false" customHeight="false" outlineLevel="0" collapsed="false">
      <c r="A1" s="8" t="s">
        <v>50</v>
      </c>
    </row>
    <row r="2" customFormat="false" ht="15" hidden="false" customHeight="false" outlineLevel="0" collapsed="false">
      <c r="A2" s="16" t="s">
        <v>51</v>
      </c>
    </row>
    <row r="3" customFormat="false" ht="31.5" hidden="false" customHeight="true" outlineLevel="0" collapsed="false">
      <c r="A3" s="17" t="s">
        <v>52</v>
      </c>
      <c r="B3" s="17" t="s">
        <v>53</v>
      </c>
      <c r="C3" s="10" t="s">
        <v>54</v>
      </c>
      <c r="D3" s="10" t="s">
        <v>55</v>
      </c>
      <c r="E3" s="10" t="s">
        <v>56</v>
      </c>
      <c r="F3" s="10" t="s">
        <v>57</v>
      </c>
      <c r="G3" s="10" t="s">
        <v>58</v>
      </c>
      <c r="H3" s="10" t="s">
        <v>59</v>
      </c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3"/>
      <c r="H4" s="13"/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</row>
  </sheetData>
  <dataValidations count="1">
    <dataValidation allowBlank="true" error="목록에서 선택하세요: 완료, 부분, 미이행" errorStyle="stop" errorTitle="입력값 확인" operator="between" showDropDown="false" showErrorMessage="true" showInputMessage="false" sqref="F4:F18" type="list">
      <formula1>"완료,부분,미이행"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28"/>
    <col collapsed="false" customWidth="true" hidden="false" outlineLevel="0" max="8" min="8" style="0" width="34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21.6" hidden="false" customHeight="false" outlineLevel="0" collapsed="false">
      <c r="A1" s="8" t="s">
        <v>60</v>
      </c>
    </row>
    <row r="2" customFormat="false" ht="15" hidden="false" customHeight="false" outlineLevel="0" collapsed="false">
      <c r="A2" s="16" t="s">
        <v>61</v>
      </c>
    </row>
    <row r="3" customFormat="false" ht="31.5" hidden="false" customHeight="true" outlineLevel="0" collapsed="false">
      <c r="A3" s="17" t="s">
        <v>62</v>
      </c>
      <c r="B3" s="10" t="s">
        <v>63</v>
      </c>
      <c r="C3" s="17" t="s">
        <v>64</v>
      </c>
      <c r="D3" s="10" t="s">
        <v>55</v>
      </c>
      <c r="E3" s="17" t="s">
        <v>65</v>
      </c>
      <c r="F3" s="10" t="s">
        <v>66</v>
      </c>
      <c r="G3" s="10" t="s">
        <v>67</v>
      </c>
      <c r="H3" s="10" t="s">
        <v>58</v>
      </c>
      <c r="I3" s="10" t="s">
        <v>68</v>
      </c>
      <c r="J3" s="10" t="s">
        <v>69</v>
      </c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</row>
  </sheetData>
  <conditionalFormatting sqref="I4:I33">
    <cfRule type="expression" priority="2" aboveAverage="0" equalAverage="0" bottom="0" percent="0" rank="0" text="" dxfId="0">
      <formula>I4="검증완료"</formula>
    </cfRule>
    <cfRule type="expression" priority="3" aboveAverage="0" equalAverage="0" bottom="0" percent="0" rank="0" text="" dxfId="1">
      <formula>I4="차단"</formula>
    </cfRule>
    <cfRule type="expression" priority="4" aboveAverage="0" equalAverage="0" bottom="0" percent="0" rank="0" text="" dxfId="2">
      <formula>I4="미확인"</formula>
    </cfRule>
    <cfRule type="expression" priority="5" aboveAverage="0" equalAverage="0" bottom="0" percent="0" rank="0" text="" dxfId="3">
      <formula>I4="진행중"</formula>
    </cfRule>
  </conditionalFormatting>
  <conditionalFormatting sqref="H4:H33">
    <cfRule type="expression" priority="6" aboveAverage="0" equalAverage="0" bottom="0" percent="0" rank="0" text="" dxfId="1">
      <formula>AND(I4="검증완료",H4="")</formula>
    </cfRule>
  </conditionalFormatting>
  <dataValidations count="1">
    <dataValidation allowBlank="true" error="목록에서 선택하세요: 미착수, 진행중, 검증완료, 차단, 미확인" errorStyle="stop" errorTitle="입력값 확인" operator="between" showDropDown="false" showErrorMessage="true" showInputMessage="false" sqref="I4:I33" type="list">
      <formula1>"미착수,진행중,검증완료,차단,미확인"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11"/>
    <col collapsed="false" customWidth="true" hidden="false" outlineLevel="0" max="8" min="8" style="0" width="32"/>
    <col collapsed="false" customWidth="true" hidden="false" outlineLevel="0" max="10" min="9" style="0" width="14"/>
  </cols>
  <sheetData>
    <row r="1" customFormat="false" ht="21.6" hidden="false" customHeight="false" outlineLevel="0" collapsed="false">
      <c r="A1" s="8" t="s">
        <v>70</v>
      </c>
    </row>
    <row r="2" customFormat="false" ht="14.15" hidden="false" customHeight="false" outlineLevel="0" collapsed="false">
      <c r="A2" s="18" t="s">
        <v>71</v>
      </c>
      <c r="B2" s="18"/>
      <c r="C2" s="18"/>
      <c r="D2" s="18"/>
      <c r="E2" s="18"/>
      <c r="F2" s="18"/>
      <c r="G2" s="18"/>
      <c r="H2" s="18"/>
      <c r="I2" s="18"/>
      <c r="J2" s="18"/>
    </row>
    <row r="3" customFormat="false" ht="15" hidden="false" customHeight="false" outlineLevel="0" collapsed="false">
      <c r="A3" s="14" t="s">
        <v>72</v>
      </c>
      <c r="B3" s="19" t="str">
        <f aca="false">IF(SUMIF(A8:A37,"&lt;&gt;",D8:D37)=0,"",ROUND(SUM(J8:J37)/SUMIF(A8:A37,"&lt;&gt;",D8:D37),1))</f>
        <v/>
      </c>
    </row>
    <row r="4" customFormat="false" ht="15" hidden="false" customHeight="false" outlineLevel="0" collapsed="false">
      <c r="A4" s="14" t="s">
        <v>73</v>
      </c>
      <c r="B4" s="19" t="str">
        <f aca="false">IF(COUNTA(A8:A37)=0,"",ROUND(COUNTIF(G8:G37,"검증완료")/COUNTA(A8:A37)*100,1))</f>
        <v/>
      </c>
    </row>
    <row r="5" customFormat="false" ht="15" hidden="false" customHeight="false" outlineLevel="0" collapsed="false">
      <c r="A5" s="14" t="s">
        <v>74</v>
      </c>
      <c r="B5" s="20"/>
    </row>
    <row r="6" customFormat="false" ht="15" hidden="false" customHeight="false" outlineLevel="0" collapsed="false">
      <c r="A6" s="14" t="s">
        <v>75</v>
      </c>
      <c r="B6" s="19" t="str">
        <f aca="false">IF(OR(B3="",B5=""),"",B3-B5)</f>
        <v/>
      </c>
    </row>
    <row r="7" customFormat="false" ht="31.5" hidden="false" customHeight="true" outlineLevel="0" collapsed="false">
      <c r="A7" s="17" t="s">
        <v>64</v>
      </c>
      <c r="B7" s="10" t="s">
        <v>76</v>
      </c>
      <c r="C7" s="10" t="s">
        <v>55</v>
      </c>
      <c r="D7" s="10" t="s">
        <v>77</v>
      </c>
      <c r="E7" s="10" t="s">
        <v>78</v>
      </c>
      <c r="F7" s="10" t="s">
        <v>58</v>
      </c>
      <c r="G7" s="10" t="s">
        <v>68</v>
      </c>
      <c r="H7" s="10" t="s">
        <v>79</v>
      </c>
      <c r="I7" s="10" t="s">
        <v>80</v>
      </c>
      <c r="J7" s="10" t="s">
        <v>81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2" t="str">
        <f aca="false">IF(OR(A8="",F8=""),IF(A8="","",0),E8)</f>
        <v/>
      </c>
      <c r="J8" s="12" t="str">
        <f aca="false">IF(A8="","",D8*I8)</f>
        <v/>
      </c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2" t="str">
        <f aca="false">IF(OR(A9="",F9=""),IF(A9="","",0),E9)</f>
        <v/>
      </c>
      <c r="J9" s="12" t="str">
        <f aca="false">IF(A9="","",D9*I9)</f>
        <v/>
      </c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2" t="str">
        <f aca="false">IF(OR(A10="",F10=""),IF(A10="","",0),E10)</f>
        <v/>
      </c>
      <c r="J10" s="12" t="str">
        <f aca="false">IF(A10="","",D10*I10)</f>
        <v/>
      </c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2" t="str">
        <f aca="false">IF(OR(A11="",F11=""),IF(A11="","",0),E11)</f>
        <v/>
      </c>
      <c r="J11" s="12" t="str">
        <f aca="false">IF(A11="","",D11*I11)</f>
        <v/>
      </c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2" t="str">
        <f aca="false">IF(OR(A12="",F12=""),IF(A12="","",0),E12)</f>
        <v/>
      </c>
      <c r="J12" s="12" t="str">
        <f aca="false">IF(A12="","",D12*I12)</f>
        <v/>
      </c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2" t="str">
        <f aca="false">IF(OR(A13="",F13=""),IF(A13="","",0),E13)</f>
        <v/>
      </c>
      <c r="J13" s="12" t="str">
        <f aca="false">IF(A13="","",D13*I13)</f>
        <v/>
      </c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2" t="str">
        <f aca="false">IF(OR(A14="",F14=""),IF(A14="","",0),E14)</f>
        <v/>
      </c>
      <c r="J14" s="12" t="str">
        <f aca="false">IF(A14="","",D14*I14)</f>
        <v/>
      </c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2" t="str">
        <f aca="false">IF(OR(A15="",F15=""),IF(A15="","",0),E15)</f>
        <v/>
      </c>
      <c r="J15" s="12" t="str">
        <f aca="false">IF(A15="","",D15*I15)</f>
        <v/>
      </c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2" t="str">
        <f aca="false">IF(OR(A16="",F16=""),IF(A16="","",0),E16)</f>
        <v/>
      </c>
      <c r="J16" s="12" t="str">
        <f aca="false">IF(A16="","",D16*I16)</f>
        <v/>
      </c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2" t="str">
        <f aca="false">IF(OR(A17="",F17=""),IF(A17="","",0),E17)</f>
        <v/>
      </c>
      <c r="J17" s="12" t="str">
        <f aca="false">IF(A17="","",D17*I17)</f>
        <v/>
      </c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2" t="str">
        <f aca="false">IF(OR(A18="",F18=""),IF(A18="","",0),E18)</f>
        <v/>
      </c>
      <c r="J18" s="12" t="str">
        <f aca="false">IF(A18="","",D18*I18)</f>
        <v/>
      </c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2" t="str">
        <f aca="false">IF(OR(A19="",F19=""),IF(A19="","",0),E19)</f>
        <v/>
      </c>
      <c r="J19" s="12" t="str">
        <f aca="false">IF(A19="","",D19*I19)</f>
        <v/>
      </c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2" t="str">
        <f aca="false">IF(OR(A20="",F20=""),IF(A20="","",0),E20)</f>
        <v/>
      </c>
      <c r="J20" s="12" t="str">
        <f aca="false">IF(A20="","",D20*I20)</f>
        <v/>
      </c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2" t="str">
        <f aca="false">IF(OR(A21="",F21=""),IF(A21="","",0),E21)</f>
        <v/>
      </c>
      <c r="J21" s="12" t="str">
        <f aca="false">IF(A21="","",D21*I21)</f>
        <v/>
      </c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2" t="str">
        <f aca="false">IF(OR(A22="",F22=""),IF(A22="","",0),E22)</f>
        <v/>
      </c>
      <c r="J22" s="12" t="str">
        <f aca="false">IF(A22="","",D22*I22)</f>
        <v/>
      </c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2" t="str">
        <f aca="false">IF(OR(A23="",F23=""),IF(A23="","",0),E23)</f>
        <v/>
      </c>
      <c r="J23" s="12" t="str">
        <f aca="false">IF(A23="","",D23*I23)</f>
        <v/>
      </c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2" t="str">
        <f aca="false">IF(OR(A24="",F24=""),IF(A24="","",0),E24)</f>
        <v/>
      </c>
      <c r="J24" s="12" t="str">
        <f aca="false">IF(A24="","",D24*I24)</f>
        <v/>
      </c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2" t="str">
        <f aca="false">IF(OR(A25="",F25=""),IF(A25="","",0),E25)</f>
        <v/>
      </c>
      <c r="J25" s="12" t="str">
        <f aca="false">IF(A25="","",D25*I25)</f>
        <v/>
      </c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2" t="str">
        <f aca="false">IF(OR(A26="",F26=""),IF(A26="","",0),E26)</f>
        <v/>
      </c>
      <c r="J26" s="12" t="str">
        <f aca="false">IF(A26="","",D26*I26)</f>
        <v/>
      </c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2" t="str">
        <f aca="false">IF(OR(A27="",F27=""),IF(A27="","",0),E27)</f>
        <v/>
      </c>
      <c r="J27" s="12" t="str">
        <f aca="false">IF(A27="","",D27*I27)</f>
        <v/>
      </c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2" t="str">
        <f aca="false">IF(OR(A28="",F28=""),IF(A28="","",0),E28)</f>
        <v/>
      </c>
      <c r="J28" s="12" t="str">
        <f aca="false">IF(A28="","",D28*I28)</f>
        <v/>
      </c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2" t="str">
        <f aca="false">IF(OR(A29="",F29=""),IF(A29="","",0),E29)</f>
        <v/>
      </c>
      <c r="J29" s="12" t="str">
        <f aca="false">IF(A29="","",D29*I29)</f>
        <v/>
      </c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2" t="str">
        <f aca="false">IF(OR(A30="",F30=""),IF(A30="","",0),E30)</f>
        <v/>
      </c>
      <c r="J30" s="12" t="str">
        <f aca="false">IF(A30="","",D30*I30)</f>
        <v/>
      </c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2" t="str">
        <f aca="false">IF(OR(A31="",F31=""),IF(A31="","",0),E31)</f>
        <v/>
      </c>
      <c r="J31" s="12" t="str">
        <f aca="false">IF(A31="","",D31*I31)</f>
        <v/>
      </c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2" t="str">
        <f aca="false">IF(OR(A32="",F32=""),IF(A32="","",0),E32)</f>
        <v/>
      </c>
      <c r="J32" s="12" t="str">
        <f aca="false">IF(A32="","",D32*I32)</f>
        <v/>
      </c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2" t="str">
        <f aca="false">IF(OR(A33="",F33=""),IF(A33="","",0),E33)</f>
        <v/>
      </c>
      <c r="J33" s="12" t="str">
        <f aca="false">IF(A33="","",D33*I33)</f>
        <v/>
      </c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2" t="str">
        <f aca="false">IF(OR(A34="",F34=""),IF(A34="","",0),E34)</f>
        <v/>
      </c>
      <c r="J34" s="12" t="str">
        <f aca="false">IF(A34="","",D34*I34)</f>
        <v/>
      </c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2" t="str">
        <f aca="false">IF(OR(A35="",F35=""),IF(A35="","",0),E35)</f>
        <v/>
      </c>
      <c r="J35" s="12" t="str">
        <f aca="false">IF(A35="","",D35*I35)</f>
        <v/>
      </c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2" t="str">
        <f aca="false">IF(OR(A36="",F36=""),IF(A36="","",0),E36)</f>
        <v/>
      </c>
      <c r="J36" s="12" t="str">
        <f aca="false">IF(A36="","",D36*I36)</f>
        <v/>
      </c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2" t="str">
        <f aca="false">IF(OR(A37="",F37=""),IF(A37="","",0),E37)</f>
        <v/>
      </c>
      <c r="J37" s="12" t="str">
        <f aca="false">IF(A37="","",D37*I37)</f>
        <v/>
      </c>
    </row>
  </sheetData>
  <mergeCells count="1">
    <mergeCell ref="A2:J2"/>
  </mergeCells>
  <conditionalFormatting sqref="G8:G37">
    <cfRule type="expression" priority="2" aboveAverage="0" equalAverage="0" bottom="0" percent="0" rank="0" text="" dxfId="0">
      <formula>G8="검증완료"</formula>
    </cfRule>
    <cfRule type="expression" priority="3" aboveAverage="0" equalAverage="0" bottom="0" percent="0" rank="0" text="" dxfId="1">
      <formula>G8="차단"</formula>
    </cfRule>
    <cfRule type="expression" priority="4" aboveAverage="0" equalAverage="0" bottom="0" percent="0" rank="0" text="" dxfId="2">
      <formula>G8="미확인"</formula>
    </cfRule>
    <cfRule type="expression" priority="5" aboveAverage="0" equalAverage="0" bottom="0" percent="0" rank="0" text="" dxfId="3">
      <formula>G8="진행중"</formula>
    </cfRule>
  </conditionalFormatting>
  <dataValidations count="3">
    <dataValidation allowBlank="true" error="가중치는 1~3 사이 숫자입니다." errorStyle="stop" errorTitle="숫자 범위" operator="between" showDropDown="false" showErrorMessage="true" showInputMessage="false" sqref="D8:D37" type="decimal">
      <formula1>1</formula1>
      <formula2>3</formula2>
    </dataValidation>
    <dataValidation allowBlank="true" error="완료율은 0~100 사이 숫자입니다." errorStyle="stop" errorTitle="숫자 범위" operator="between" showDropDown="false" showErrorMessage="true" showInputMessage="false" sqref="E8:E37" type="decimal">
      <formula1>0</formula1>
      <formula2>100</formula2>
    </dataValidation>
    <dataValidation allowBlank="true" error="목록에서 선택하세요: 미착수, 진행중, 검증완료, 차단, 미확인" errorStyle="stop" errorTitle="입력값 확인" operator="between" showDropDown="false" showErrorMessage="true" showInputMessage="false" sqref="G8:G37" type="list">
      <formula1>"미착수,진행중,검증완료,차단,미확인"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9"/>
    <col collapsed="false" customWidth="true" hidden="false" outlineLevel="0" max="4" min="4" style="0" width="30"/>
    <col collapsed="false" customWidth="true" hidden="false" outlineLevel="0" max="6" min="5" style="0" width="26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32"/>
    <col collapsed="false" customWidth="true" hidden="false" outlineLevel="0" max="11" min="11" style="0" width="36"/>
  </cols>
  <sheetData>
    <row r="1" customFormat="false" ht="21.6" hidden="false" customHeight="false" outlineLevel="0" collapsed="false">
      <c r="A1" s="8" t="s">
        <v>82</v>
      </c>
    </row>
    <row r="2" customFormat="false" ht="15" hidden="false" customHeight="false" outlineLevel="0" collapsed="false">
      <c r="A2" s="9" t="s">
        <v>83</v>
      </c>
    </row>
    <row r="3" customFormat="false" ht="31.5" hidden="false" customHeight="true" outlineLevel="0" collapsed="false">
      <c r="A3" s="17" t="s">
        <v>65</v>
      </c>
      <c r="B3" s="10" t="s">
        <v>84</v>
      </c>
      <c r="C3" s="10" t="s">
        <v>85</v>
      </c>
      <c r="D3" s="10" t="s">
        <v>86</v>
      </c>
      <c r="E3" s="10" t="s">
        <v>66</v>
      </c>
      <c r="F3" s="10" t="s">
        <v>67</v>
      </c>
      <c r="G3" s="10" t="s">
        <v>87</v>
      </c>
      <c r="H3" s="10" t="s">
        <v>88</v>
      </c>
      <c r="I3" s="10" t="s">
        <v>89</v>
      </c>
      <c r="J3" s="10" t="s">
        <v>58</v>
      </c>
      <c r="K3" s="10" t="s">
        <v>90</v>
      </c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</sheetData>
  <conditionalFormatting sqref="G4:G33">
    <cfRule type="expression" priority="2" aboveAverage="0" equalAverage="0" bottom="0" percent="0" rank="0" text="" dxfId="1">
      <formula>G4="실패"</formula>
    </cfRule>
    <cfRule type="expression" priority="3" aboveAverage="0" equalAverage="0" bottom="0" percent="0" rank="0" text="" dxfId="0">
      <formula>G4="통과"</formula>
    </cfRule>
  </conditionalFormatting>
  <dataValidations count="2">
    <dataValidation allowBlank="true" error="목록에서 선택하세요: 정상, 오류, 경계" errorStyle="stop" errorTitle="입력값 확인" operator="between" showDropDown="false" showErrorMessage="true" showInputMessage="false" sqref="C4:C33" type="list">
      <formula1>"정상,오류,경계"</formula1>
      <formula2>0</formula2>
    </dataValidation>
    <dataValidation allowBlank="true" error="목록에서 선택하세요: 통과, 실패, 미실시" errorStyle="stop" errorTitle="입력값 확인" operator="between" showDropDown="false" showErrorMessage="true" showInputMessage="false" sqref="G4:G33" type="list">
      <formula1>"통과,실패,미실시"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4" min="3" style="0" width="11"/>
    <col collapsed="false" customWidth="true" hidden="false" outlineLevel="0" max="6" min="5" style="0" width="8"/>
    <col collapsed="false" customWidth="true" hidden="false" outlineLevel="0" max="7" min="7" style="0" width="34"/>
    <col collapsed="false" customWidth="true" hidden="false" outlineLevel="0" max="9" min="8" style="0" width="12"/>
    <col collapsed="false" customWidth="true" hidden="false" outlineLevel="0" max="10" min="10" style="0" width="26"/>
    <col collapsed="false" customWidth="true" hidden="false" outlineLevel="0" max="11" min="11" style="0" width="11"/>
  </cols>
  <sheetData>
    <row r="1" customFormat="false" ht="21.6" hidden="false" customHeight="false" outlineLevel="0" collapsed="false">
      <c r="A1" s="8" t="s">
        <v>91</v>
      </c>
    </row>
    <row r="2" customFormat="false" ht="15" hidden="false" customHeight="false" outlineLevel="0" collapsed="false">
      <c r="A2" s="9" t="s">
        <v>92</v>
      </c>
    </row>
    <row r="3" customFormat="false" ht="31.5" hidden="false" customHeight="true" outlineLevel="0" collapsed="false">
      <c r="A3" s="10" t="s">
        <v>93</v>
      </c>
      <c r="B3" s="10" t="s">
        <v>94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99</v>
      </c>
      <c r="H3" s="10" t="s">
        <v>55</v>
      </c>
      <c r="I3" s="10" t="s">
        <v>56</v>
      </c>
      <c r="J3" s="10" t="s">
        <v>100</v>
      </c>
      <c r="K3" s="10" t="s">
        <v>68</v>
      </c>
    </row>
    <row r="4" customFormat="false" ht="15" hidden="false" customHeight="false" outlineLevel="0" collapsed="false">
      <c r="A4" s="13"/>
      <c r="B4" s="13"/>
      <c r="C4" s="13"/>
      <c r="D4" s="13"/>
      <c r="E4" s="12" t="str">
        <f aca="false">IF(OR(C4="",D4=""),"",C4*D4)</f>
        <v/>
      </c>
      <c r="F4" s="21" t="str">
        <f aca="false">IF(E4="","",IF(E4&gt;=15,"높음",IF(E4&gt;=8,"중간","낮음")))</f>
        <v/>
      </c>
      <c r="G4" s="13"/>
      <c r="H4" s="13"/>
      <c r="I4" s="13"/>
      <c r="J4" s="13"/>
      <c r="K4" s="13"/>
    </row>
    <row r="5" customFormat="false" ht="15" hidden="false" customHeight="false" outlineLevel="0" collapsed="false">
      <c r="A5" s="13"/>
      <c r="B5" s="13"/>
      <c r="C5" s="13"/>
      <c r="D5" s="13"/>
      <c r="E5" s="12" t="str">
        <f aca="false">IF(OR(C5="",D5=""),"",C5*D5)</f>
        <v/>
      </c>
      <c r="F5" s="21" t="str">
        <f aca="false">IF(E5="","",IF(E5&gt;=15,"높음",IF(E5&gt;=8,"중간","낮음")))</f>
        <v/>
      </c>
      <c r="G5" s="13"/>
      <c r="H5" s="13"/>
      <c r="I5" s="13"/>
      <c r="J5" s="13"/>
      <c r="K5" s="13"/>
    </row>
    <row r="6" customFormat="false" ht="15" hidden="false" customHeight="false" outlineLevel="0" collapsed="false">
      <c r="A6" s="13"/>
      <c r="B6" s="13"/>
      <c r="C6" s="13"/>
      <c r="D6" s="13"/>
      <c r="E6" s="12" t="str">
        <f aca="false">IF(OR(C6="",D6=""),"",C6*D6)</f>
        <v/>
      </c>
      <c r="F6" s="21" t="str">
        <f aca="false">IF(E6="","",IF(E6&gt;=15,"높음",IF(E6&gt;=8,"중간","낮음")))</f>
        <v/>
      </c>
      <c r="G6" s="13"/>
      <c r="H6" s="13"/>
      <c r="I6" s="13"/>
      <c r="J6" s="13"/>
      <c r="K6" s="13"/>
    </row>
    <row r="7" customFormat="false" ht="15" hidden="false" customHeight="false" outlineLevel="0" collapsed="false">
      <c r="A7" s="13"/>
      <c r="B7" s="13"/>
      <c r="C7" s="13"/>
      <c r="D7" s="13"/>
      <c r="E7" s="12" t="str">
        <f aca="false">IF(OR(C7="",D7=""),"",C7*D7)</f>
        <v/>
      </c>
      <c r="F7" s="21" t="str">
        <f aca="false">IF(E7="","",IF(E7&gt;=15,"높음",IF(E7&gt;=8,"중간","낮음")))</f>
        <v/>
      </c>
      <c r="G7" s="13"/>
      <c r="H7" s="13"/>
      <c r="I7" s="13"/>
      <c r="J7" s="13"/>
      <c r="K7" s="13"/>
    </row>
    <row r="8" customFormat="false" ht="15" hidden="false" customHeight="false" outlineLevel="0" collapsed="false">
      <c r="A8" s="13"/>
      <c r="B8" s="13"/>
      <c r="C8" s="13"/>
      <c r="D8" s="13"/>
      <c r="E8" s="12" t="str">
        <f aca="false">IF(OR(C8="",D8=""),"",C8*D8)</f>
        <v/>
      </c>
      <c r="F8" s="21" t="str">
        <f aca="false">IF(E8="","",IF(E8&gt;=15,"높음",IF(E8&gt;=8,"중간","낮음")))</f>
        <v/>
      </c>
      <c r="G8" s="13"/>
      <c r="H8" s="13"/>
      <c r="I8" s="13"/>
      <c r="J8" s="13"/>
      <c r="K8" s="13"/>
    </row>
    <row r="9" customFormat="false" ht="15" hidden="false" customHeight="false" outlineLevel="0" collapsed="false">
      <c r="A9" s="13"/>
      <c r="B9" s="13"/>
      <c r="C9" s="13"/>
      <c r="D9" s="13"/>
      <c r="E9" s="12" t="str">
        <f aca="false">IF(OR(C9="",D9=""),"",C9*D9)</f>
        <v/>
      </c>
      <c r="F9" s="21" t="str">
        <f aca="false">IF(E9="","",IF(E9&gt;=15,"높음",IF(E9&gt;=8,"중간","낮음")))</f>
        <v/>
      </c>
      <c r="G9" s="13"/>
      <c r="H9" s="13"/>
      <c r="I9" s="13"/>
      <c r="J9" s="13"/>
      <c r="K9" s="13"/>
    </row>
    <row r="10" customFormat="false" ht="15" hidden="false" customHeight="false" outlineLevel="0" collapsed="false">
      <c r="A10" s="13"/>
      <c r="B10" s="13"/>
      <c r="C10" s="13"/>
      <c r="D10" s="13"/>
      <c r="E10" s="12" t="str">
        <f aca="false">IF(OR(C10="",D10=""),"",C10*D10)</f>
        <v/>
      </c>
      <c r="F10" s="21" t="str">
        <f aca="false">IF(E10="","",IF(E10&gt;=15,"높음",IF(E10&gt;=8,"중간","낮음")))</f>
        <v/>
      </c>
      <c r="G10" s="13"/>
      <c r="H10" s="13"/>
      <c r="I10" s="13"/>
      <c r="J10" s="13"/>
      <c r="K10" s="13"/>
    </row>
    <row r="11" customFormat="false" ht="15" hidden="false" customHeight="false" outlineLevel="0" collapsed="false">
      <c r="A11" s="13"/>
      <c r="B11" s="13"/>
      <c r="C11" s="13"/>
      <c r="D11" s="13"/>
      <c r="E11" s="12" t="str">
        <f aca="false">IF(OR(C11="",D11=""),"",C11*D11)</f>
        <v/>
      </c>
      <c r="F11" s="21" t="str">
        <f aca="false">IF(E11="","",IF(E11&gt;=15,"높음",IF(E11&gt;=8,"중간","낮음")))</f>
        <v/>
      </c>
      <c r="G11" s="13"/>
      <c r="H11" s="13"/>
      <c r="I11" s="13"/>
      <c r="J11" s="13"/>
      <c r="K11" s="13"/>
    </row>
    <row r="12" customFormat="false" ht="15" hidden="false" customHeight="false" outlineLevel="0" collapsed="false">
      <c r="A12" s="13"/>
      <c r="B12" s="13"/>
      <c r="C12" s="13"/>
      <c r="D12" s="13"/>
      <c r="E12" s="12" t="str">
        <f aca="false">IF(OR(C12="",D12=""),"",C12*D12)</f>
        <v/>
      </c>
      <c r="F12" s="21" t="str">
        <f aca="false">IF(E12="","",IF(E12&gt;=15,"높음",IF(E12&gt;=8,"중간","낮음")))</f>
        <v/>
      </c>
      <c r="G12" s="13"/>
      <c r="H12" s="13"/>
      <c r="I12" s="13"/>
      <c r="J12" s="13"/>
      <c r="K12" s="13"/>
    </row>
    <row r="13" customFormat="false" ht="15" hidden="false" customHeight="false" outlineLevel="0" collapsed="false">
      <c r="A13" s="13"/>
      <c r="B13" s="13"/>
      <c r="C13" s="13"/>
      <c r="D13" s="13"/>
      <c r="E13" s="12" t="str">
        <f aca="false">IF(OR(C13="",D13=""),"",C13*D13)</f>
        <v/>
      </c>
      <c r="F13" s="21" t="str">
        <f aca="false">IF(E13="","",IF(E13&gt;=15,"높음",IF(E13&gt;=8,"중간","낮음")))</f>
        <v/>
      </c>
      <c r="G13" s="13"/>
      <c r="H13" s="13"/>
      <c r="I13" s="13"/>
      <c r="J13" s="13"/>
      <c r="K13" s="13"/>
    </row>
    <row r="14" customFormat="false" ht="15" hidden="false" customHeight="false" outlineLevel="0" collapsed="false">
      <c r="A14" s="13"/>
      <c r="B14" s="13"/>
      <c r="C14" s="13"/>
      <c r="D14" s="13"/>
      <c r="E14" s="12" t="str">
        <f aca="false">IF(OR(C14="",D14=""),"",C14*D14)</f>
        <v/>
      </c>
      <c r="F14" s="21" t="str">
        <f aca="false">IF(E14="","",IF(E14&gt;=15,"높음",IF(E14&gt;=8,"중간","낮음")))</f>
        <v/>
      </c>
      <c r="G14" s="13"/>
      <c r="H14" s="13"/>
      <c r="I14" s="13"/>
      <c r="J14" s="13"/>
      <c r="K14" s="13"/>
    </row>
    <row r="15" customFormat="false" ht="15" hidden="false" customHeight="false" outlineLevel="0" collapsed="false">
      <c r="A15" s="13"/>
      <c r="B15" s="13"/>
      <c r="C15" s="13"/>
      <c r="D15" s="13"/>
      <c r="E15" s="12" t="str">
        <f aca="false">IF(OR(C15="",D15=""),"",C15*D15)</f>
        <v/>
      </c>
      <c r="F15" s="21" t="str">
        <f aca="false">IF(E15="","",IF(E15&gt;=15,"높음",IF(E15&gt;=8,"중간","낮음")))</f>
        <v/>
      </c>
      <c r="G15" s="13"/>
      <c r="H15" s="13"/>
      <c r="I15" s="13"/>
      <c r="J15" s="13"/>
      <c r="K15" s="13"/>
    </row>
    <row r="16" customFormat="false" ht="15" hidden="false" customHeight="false" outlineLevel="0" collapsed="false">
      <c r="A16" s="13"/>
      <c r="B16" s="13"/>
      <c r="C16" s="13"/>
      <c r="D16" s="13"/>
      <c r="E16" s="12" t="str">
        <f aca="false">IF(OR(C16="",D16=""),"",C16*D16)</f>
        <v/>
      </c>
      <c r="F16" s="21" t="str">
        <f aca="false">IF(E16="","",IF(E16&gt;=15,"높음",IF(E16&gt;=8,"중간","낮음")))</f>
        <v/>
      </c>
      <c r="G16" s="13"/>
      <c r="H16" s="13"/>
      <c r="I16" s="13"/>
      <c r="J16" s="13"/>
      <c r="K16" s="13"/>
    </row>
    <row r="17" customFormat="false" ht="15" hidden="false" customHeight="false" outlineLevel="0" collapsed="false">
      <c r="A17" s="13"/>
      <c r="B17" s="13"/>
      <c r="C17" s="13"/>
      <c r="D17" s="13"/>
      <c r="E17" s="12" t="str">
        <f aca="false">IF(OR(C17="",D17=""),"",C17*D17)</f>
        <v/>
      </c>
      <c r="F17" s="21" t="str">
        <f aca="false">IF(E17="","",IF(E17&gt;=15,"높음",IF(E17&gt;=8,"중간","낮음")))</f>
        <v/>
      </c>
      <c r="G17" s="13"/>
      <c r="H17" s="13"/>
      <c r="I17" s="13"/>
      <c r="J17" s="13"/>
      <c r="K17" s="13"/>
    </row>
    <row r="18" customFormat="false" ht="15" hidden="false" customHeight="false" outlineLevel="0" collapsed="false">
      <c r="A18" s="13"/>
      <c r="B18" s="13"/>
      <c r="C18" s="13"/>
      <c r="D18" s="13"/>
      <c r="E18" s="12" t="str">
        <f aca="false">IF(OR(C18="",D18=""),"",C18*D18)</f>
        <v/>
      </c>
      <c r="F18" s="21" t="str">
        <f aca="false">IF(E18="","",IF(E18&gt;=15,"높음",IF(E18&gt;=8,"중간","낮음")))</f>
        <v/>
      </c>
      <c r="G18" s="13"/>
      <c r="H18" s="13"/>
      <c r="I18" s="13"/>
      <c r="J18" s="13"/>
      <c r="K18" s="13"/>
    </row>
  </sheetData>
  <conditionalFormatting sqref="F4:F18">
    <cfRule type="expression" priority="2" aboveAverage="0" equalAverage="0" bottom="0" percent="0" rank="0" text="" dxfId="1">
      <formula>F4="높음"</formula>
    </cfRule>
  </conditionalFormatting>
  <dataValidations count="2">
    <dataValidation allowBlank="true" error="1~5 사이 숫자입니다." errorStyle="stop" errorTitle="숫자 범위" operator="between" showDropDown="false" showErrorMessage="true" showInputMessage="false" sqref="C4:D18" type="decimal">
      <formula1>1</formula1>
      <formula2>5</formula2>
    </dataValidation>
    <dataValidation allowBlank="true" error="목록에서 선택하세요: 미착수, 진행중, 검증완료, 차단, 미확인" errorStyle="stop" errorTitle="입력값 확인" operator="between" showDropDown="false" showErrorMessage="true" showInputMessage="false" sqref="K4:K18" type="list">
      <formula1>"미착수,진행중,검증완료,차단,미확인"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32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8" min="7" style="0" width="12"/>
    <col collapsed="false" customWidth="true" hidden="false" outlineLevel="0" max="9" min="9" style="0" width="26"/>
    <col collapsed="false" customWidth="true" hidden="false" outlineLevel="0" max="10" min="10" style="0" width="30"/>
  </cols>
  <sheetData>
    <row r="1" customFormat="false" ht="21.6" hidden="false" customHeight="false" outlineLevel="0" collapsed="false">
      <c r="A1" s="8" t="s">
        <v>101</v>
      </c>
    </row>
    <row r="2" customFormat="false" ht="15" hidden="false" customHeight="false" outlineLevel="0" collapsed="false">
      <c r="A2" s="9" t="s">
        <v>102</v>
      </c>
    </row>
    <row r="3" customFormat="false" ht="31.5" hidden="false" customHeight="true" outlineLevel="0" collapsed="false">
      <c r="A3" s="10" t="s">
        <v>103</v>
      </c>
      <c r="B3" s="10" t="s">
        <v>104</v>
      </c>
      <c r="C3" s="10" t="s">
        <v>105</v>
      </c>
      <c r="D3" s="10" t="s">
        <v>106</v>
      </c>
      <c r="E3" s="10" t="s">
        <v>107</v>
      </c>
      <c r="F3" s="10" t="s">
        <v>108</v>
      </c>
      <c r="G3" s="10" t="s">
        <v>55</v>
      </c>
      <c r="H3" s="10" t="s">
        <v>56</v>
      </c>
      <c r="I3" s="10" t="s">
        <v>109</v>
      </c>
      <c r="J3" s="10" t="s">
        <v>110</v>
      </c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</row>
  </sheetData>
  <dataValidations count="1">
    <dataValidation allowBlank="true" error="목록에서 선택하세요: 수용, 보류, 추가확인" errorStyle="stop" errorTitle="입력값 확인" operator="between" showDropDown="false" showErrorMessage="true" showInputMessage="false" sqref="E4:E23" type="list">
      <formula1>"수용,보류,추가확인"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21.6" hidden="false" customHeight="false" outlineLevel="0" collapsed="false">
      <c r="A1" s="8" t="s">
        <v>111</v>
      </c>
    </row>
    <row r="2" customFormat="false" ht="15" hidden="false" customHeight="false" outlineLevel="0" collapsed="false">
      <c r="A2" s="9" t="s">
        <v>112</v>
      </c>
    </row>
    <row r="3" customFormat="false" ht="31.5" hidden="false" customHeight="true" outlineLevel="0" collapsed="false">
      <c r="A3" s="10" t="s">
        <v>113</v>
      </c>
      <c r="B3" s="10" t="s">
        <v>114</v>
      </c>
      <c r="C3" s="10" t="s">
        <v>115</v>
      </c>
      <c r="D3" s="10" t="s">
        <v>116</v>
      </c>
      <c r="E3" s="10" t="s">
        <v>117</v>
      </c>
      <c r="F3" s="10" t="s">
        <v>118</v>
      </c>
      <c r="G3" s="10" t="s">
        <v>119</v>
      </c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</row>
  </sheetData>
  <dataValidations count="1">
    <dataValidation allowBlank="true" error="0 이상 숫자(시간)입니다." errorStyle="stop" errorTitle="숫자 범위" operator="between" showDropDown="false" showErrorMessage="true" showInputMessage="false" sqref="F4:F43" type="decimal">
      <formula1>0</formula1>
      <formula2>200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2026-10-22T02:08:00Z</dcterms:created>
  <dc:creator>openpyxl</dc:creator>
  <dc:description/>
  <dc:language>en-US</dc:language>
  <cp:lastModifiedBy/>
  <dcterms:modified xsi:type="dcterms:W3CDTF">2026-10-22T02:08:00Z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